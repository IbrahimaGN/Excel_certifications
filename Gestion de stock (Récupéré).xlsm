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slicers/slicer2.xml" ContentType="application/vnd.ms-excel.slicer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HP\Documents\Excel_certifications\"/>
    </mc:Choice>
  </mc:AlternateContent>
  <bookViews>
    <workbookView xWindow="0" yWindow="0" windowWidth="19200" windowHeight="6930" activeTab="1"/>
  </bookViews>
  <sheets>
    <sheet name="Opérations" sheetId="8" r:id="rId1"/>
    <sheet name="Tableau de bord" sheetId="13" r:id="rId2"/>
    <sheet name="Marchandises" sheetId="9" r:id="rId3"/>
    <sheet name="Entrées" sheetId="10" r:id="rId4"/>
    <sheet name="Sorties" sheetId="11" r:id="rId5"/>
    <sheet name="Inventaire " sheetId="12" r:id="rId6"/>
    <sheet name="Traitement" sheetId="14" r:id="rId7"/>
  </sheets>
  <definedNames>
    <definedName name="_xlcn.WorksheetConnection_Gestiondestock.xlsmlesCategories" hidden="1">LesCategories[]</definedName>
    <definedName name="_xlcn.WorksheetConnection_Gestiondestock.xlsmlesMois" hidden="1">Tableau3</definedName>
    <definedName name="_xlcn.WorksheetConnection_Gestiondestock.xlsmlesReferences" hidden="1">LesReferences[]</definedName>
    <definedName name="_xlcn.WorksheetConnection_Gestiondestock.xlsmlisteAchats" hidden="1">listeAchats[]</definedName>
    <definedName name="_xlcn.WorksheetConnection_Gestiondestock.xlsmlisteVentes" hidden="1">listeVentes[]</definedName>
    <definedName name="_xlcn.WorksheetConnection_GestiondestockRécupéré.xlsmMois" hidden="1">Mois[]</definedName>
    <definedName name="Segment_Catégories">#N/A</definedName>
    <definedName name="Segment_mois1">#N/A</definedName>
    <definedName name="Segment_Références">#N/A</definedName>
  </definedNames>
  <calcPr calcId="162913"/>
  <pivotCaches>
    <pivotCache cacheId="6" r:id="rId8"/>
    <pivotCache cacheId="7" r:id="rId9"/>
    <pivotCache cacheId="8" r:id="rId10"/>
    <pivotCache cacheId="9" r:id="rId11"/>
    <pivotCache cacheId="10" r:id="rId12"/>
    <pivotCache cacheId="11" r:id="rId13"/>
    <pivotCache cacheId="12" r:id="rId14"/>
    <pivotCache cacheId="13" r:id="rId15"/>
    <pivotCache cacheId="14" r:id="rId16"/>
    <pivotCache cacheId="15" r:id="rId17"/>
    <pivotCache cacheId="16" r:id="rId18"/>
    <pivotCache cacheId="17" r:id="rId19"/>
  </pivotCaches>
  <extLst>
    <ext xmlns:x14="http://schemas.microsoft.com/office/spreadsheetml/2009/9/main" uri="{876F7934-8845-4945-9796-88D515C7AA90}">
      <x14:pivotCaches>
        <pivotCache cacheId="18" r:id="rId20"/>
      </x14:pivotCaches>
    </ext>
    <ext xmlns:x14="http://schemas.microsoft.com/office/spreadsheetml/2009/9/main" uri="{BBE1A952-AA13-448e-AADC-164F8A28A991}">
      <x14:slicerCaches>
        <x14:slicerCache r:id="rId21"/>
        <x14:slicerCache r:id="rId22"/>
        <x14:slicerCache r:id="rId2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listeVentes" name="listeVentes" connection="WorksheetConnection_Gestion de stock.xlsm!listeVentes"/>
          <x15:modelTable id="listeAchats" name="listeAchats" connection="WorksheetConnection_Gestion de stock.xlsm!listeAchats"/>
          <x15:modelTable id="lesReferences" name="lesReferences" connection="WorksheetConnection_Gestion de stock.xlsm!lesReferences"/>
          <x15:modelTable id="lesMois" name="lesMois" connection="WorksheetConnection_Gestion de stock.xlsm!lesMois"/>
          <x15:modelTable id="lesCategories" name="lesCategories" connection="WorksheetConnection_Gestion de stock.xlsm!lesCategories"/>
          <x15:modelTable id="Mois" name="Mois" connection="WorksheetConnection_Gestion de stock (Récupéré).xlsm!Mois"/>
        </x15:modelTables>
        <x15:modelRelationships>
          <x15:modelRelationship fromTable="listeAchats" fromColumn="Catégorie" toTable="lesCategories" toColumn="Catégorie"/>
          <x15:modelRelationship fromTable="listeAchats" fromColumn="Référence" toTable="lesReferences" toColumn="Référence"/>
          <x15:modelRelationship fromTable="listeAchats" fromColumn="Date (mois)" toTable="Mois" toColumn="mois"/>
          <x15:modelRelationship fromTable="listeVentes" fromColumn="Catégorie" toTable="lesCategories" toColumn="Catégorie"/>
          <x15:modelRelationship fromTable="listeVentes" fromColumn="Référence" toTable="lesReferences" toColumn="Référence"/>
          <x15:modelRelationship fromTable="listeVentes" fromColumn="Date (mois)" toTable="Mois" toColumn="mois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listeAchats" columnName="Date" columnId="Date">
                <x16:calculatedTimeColumn columnName="Date (index des mois)" columnId="Date (index des mois)" contentType="monthsindex" isSelected="1"/>
                <x16:calculatedTimeColumn columnName="Date (mois)" columnId="Date (mois)" contentType="months" isSelected="1"/>
              </x16:modelTimeGrouping>
              <x16:modelTimeGrouping tableName="listeVentes" columnName="Date" columnId="Date">
                <x16:calculatedTimeColumn columnName="Date (index des mois)" columnId="Date (index des mois)" contentType="monthsindex" isSelected="1"/>
                <x16:calculatedTimeColumn columnName="Date (mois)" columnId="Date (mois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I16" i="8" l="1"/>
  <c r="F96" i="14" l="1"/>
  <c r="F95" i="14"/>
  <c r="F94" i="14"/>
  <c r="F73" i="14"/>
  <c r="F72" i="14"/>
  <c r="F71" i="14"/>
  <c r="F70" i="14"/>
  <c r="F69" i="14"/>
  <c r="F65" i="14"/>
  <c r="F64" i="14"/>
  <c r="F63" i="14"/>
  <c r="F62" i="14"/>
  <c r="F53" i="14"/>
  <c r="F54" i="14"/>
  <c r="F55" i="14"/>
  <c r="F57" i="14"/>
  <c r="G96" i="14"/>
  <c r="G95" i="14"/>
  <c r="G94" i="14"/>
  <c r="F56" i="14"/>
  <c r="G69" i="14" l="1"/>
  <c r="G65" i="14"/>
  <c r="G71" i="14"/>
  <c r="G72" i="14"/>
  <c r="G73" i="14"/>
  <c r="G70" i="14"/>
  <c r="G62" i="14"/>
  <c r="H94" i="14"/>
  <c r="H95" i="14"/>
  <c r="H96" i="14"/>
  <c r="G63" i="14"/>
  <c r="G64" i="14"/>
  <c r="G57" i="14"/>
  <c r="G56" i="14"/>
  <c r="G55" i="14"/>
  <c r="G54" i="14"/>
  <c r="G53" i="14"/>
  <c r="G61" i="14"/>
  <c r="N16" i="12"/>
  <c r="M16" i="12"/>
  <c r="L16" i="12"/>
  <c r="K16" i="12"/>
  <c r="J16" i="12"/>
  <c r="I16" i="12"/>
  <c r="H16" i="12"/>
  <c r="G16" i="12"/>
  <c r="F16" i="12"/>
  <c r="E16" i="12"/>
  <c r="D16" i="12"/>
  <c r="N15" i="12"/>
  <c r="M15" i="12"/>
  <c r="L15" i="12"/>
  <c r="K15" i="12"/>
  <c r="J15" i="12"/>
  <c r="I15" i="12"/>
  <c r="H15" i="12"/>
  <c r="G15" i="12"/>
  <c r="F15" i="12"/>
  <c r="E15" i="12"/>
  <c r="D15" i="12"/>
  <c r="N14" i="12"/>
  <c r="M14" i="12"/>
  <c r="L14" i="12"/>
  <c r="K14" i="12"/>
  <c r="J14" i="12"/>
  <c r="I14" i="12"/>
  <c r="H14" i="12"/>
  <c r="G14" i="12"/>
  <c r="F14" i="12"/>
  <c r="E14" i="12"/>
  <c r="D14" i="12"/>
  <c r="N13" i="12"/>
  <c r="M13" i="12"/>
  <c r="L13" i="12"/>
  <c r="K13" i="12"/>
  <c r="J13" i="12"/>
  <c r="I13" i="12"/>
  <c r="H13" i="12"/>
  <c r="G13" i="12"/>
  <c r="F13" i="12"/>
  <c r="E13" i="12"/>
  <c r="D13" i="12"/>
  <c r="N12" i="12"/>
  <c r="M12" i="12"/>
  <c r="L12" i="12"/>
  <c r="K12" i="12"/>
  <c r="J12" i="12"/>
  <c r="I12" i="12"/>
  <c r="H12" i="12"/>
  <c r="G12" i="12"/>
  <c r="F12" i="12"/>
  <c r="E12" i="12"/>
  <c r="D12" i="12"/>
  <c r="N11" i="12"/>
  <c r="M11" i="12"/>
  <c r="L11" i="12"/>
  <c r="K11" i="12"/>
  <c r="J11" i="12"/>
  <c r="I11" i="12"/>
  <c r="H11" i="12"/>
  <c r="G11" i="12"/>
  <c r="F11" i="12"/>
  <c r="E11" i="12"/>
  <c r="D11" i="12"/>
  <c r="N10" i="12"/>
  <c r="M10" i="12"/>
  <c r="L10" i="12"/>
  <c r="K10" i="12"/>
  <c r="J10" i="12"/>
  <c r="I10" i="12"/>
  <c r="H10" i="12"/>
  <c r="G10" i="12"/>
  <c r="F10" i="12"/>
  <c r="E10" i="12"/>
  <c r="D10" i="12"/>
  <c r="N9" i="12"/>
  <c r="M9" i="12"/>
  <c r="L9" i="12"/>
  <c r="K9" i="12"/>
  <c r="J9" i="12"/>
  <c r="I9" i="12"/>
  <c r="H9" i="12"/>
  <c r="G9" i="12"/>
  <c r="F9" i="12"/>
  <c r="E9" i="12"/>
  <c r="D9" i="12"/>
  <c r="N8" i="12"/>
  <c r="M8" i="12"/>
  <c r="L8" i="12"/>
  <c r="K8" i="12"/>
  <c r="J8" i="12"/>
  <c r="I8" i="12"/>
  <c r="H8" i="12"/>
  <c r="G8" i="12"/>
  <c r="F8" i="12"/>
  <c r="E8" i="12"/>
  <c r="D8" i="12"/>
  <c r="N7" i="12"/>
  <c r="M7" i="12"/>
  <c r="L7" i="12"/>
  <c r="K7" i="12"/>
  <c r="J7" i="12"/>
  <c r="I7" i="12"/>
  <c r="H7" i="12"/>
  <c r="G7" i="12"/>
  <c r="F7" i="12"/>
  <c r="E7" i="12"/>
  <c r="D7" i="12"/>
  <c r="N6" i="12"/>
  <c r="M6" i="12"/>
  <c r="L6" i="12"/>
  <c r="K6" i="12"/>
  <c r="J6" i="12"/>
  <c r="I6" i="12"/>
  <c r="H6" i="12"/>
  <c r="G6" i="12"/>
  <c r="F6" i="12"/>
  <c r="E6" i="12"/>
  <c r="D6" i="12"/>
  <c r="K66" i="11"/>
  <c r="K65" i="11"/>
  <c r="K64" i="11"/>
  <c r="K63" i="11"/>
  <c r="K62" i="11"/>
  <c r="C62" i="11"/>
  <c r="K61" i="11"/>
  <c r="C61" i="11"/>
  <c r="K60" i="11"/>
  <c r="C60" i="11"/>
  <c r="K59" i="11"/>
  <c r="C59" i="11"/>
  <c r="K58" i="11"/>
  <c r="C58" i="11"/>
  <c r="K57" i="11"/>
  <c r="C57" i="11"/>
  <c r="K56" i="11"/>
  <c r="C56" i="11"/>
  <c r="K55" i="11"/>
  <c r="C55" i="11"/>
  <c r="K54" i="11"/>
  <c r="C54" i="11"/>
  <c r="K53" i="11"/>
  <c r="C53" i="11"/>
  <c r="K52" i="11"/>
  <c r="C52" i="11"/>
  <c r="K51" i="11"/>
  <c r="C51" i="11"/>
  <c r="K50" i="11"/>
  <c r="C50" i="11"/>
  <c r="K49" i="11"/>
  <c r="C49" i="11"/>
  <c r="K48" i="11"/>
  <c r="C48" i="11"/>
  <c r="K47" i="11"/>
  <c r="C47" i="11"/>
  <c r="K46" i="11"/>
  <c r="C46" i="11"/>
  <c r="K45" i="11"/>
  <c r="C45" i="11"/>
  <c r="K44" i="11"/>
  <c r="C44" i="11"/>
  <c r="K43" i="11"/>
  <c r="C43" i="11"/>
  <c r="K42" i="11"/>
  <c r="C42" i="11"/>
  <c r="K41" i="11"/>
  <c r="C41" i="11"/>
  <c r="K40" i="11"/>
  <c r="C40" i="11"/>
  <c r="K39" i="11"/>
  <c r="C39" i="11"/>
  <c r="K38" i="11"/>
  <c r="C38" i="11"/>
  <c r="K37" i="11"/>
  <c r="C37" i="11"/>
  <c r="K36" i="11"/>
  <c r="C36" i="11"/>
  <c r="K35" i="11"/>
  <c r="C35" i="11"/>
  <c r="K34" i="11"/>
  <c r="C34" i="11"/>
  <c r="K33" i="11"/>
  <c r="C33" i="11"/>
  <c r="K32" i="11"/>
  <c r="C32" i="11"/>
  <c r="K31" i="11"/>
  <c r="C31" i="11"/>
  <c r="K30" i="11"/>
  <c r="C30" i="11"/>
  <c r="K29" i="11"/>
  <c r="C29" i="11"/>
  <c r="K28" i="11"/>
  <c r="C28" i="11"/>
  <c r="K27" i="11"/>
  <c r="C27" i="11"/>
  <c r="K26" i="11"/>
  <c r="C26" i="11"/>
  <c r="K25" i="11"/>
  <c r="C25" i="11"/>
  <c r="K24" i="11"/>
  <c r="C24" i="11"/>
  <c r="K23" i="11"/>
  <c r="C23" i="11"/>
  <c r="K22" i="11"/>
  <c r="C22" i="11"/>
  <c r="K21" i="11"/>
  <c r="C21" i="11"/>
  <c r="K20" i="11"/>
  <c r="C20" i="11"/>
  <c r="K19" i="11"/>
  <c r="C19" i="11"/>
  <c r="K18" i="11"/>
  <c r="C18" i="11"/>
  <c r="K17" i="11"/>
  <c r="C17" i="11"/>
  <c r="K16" i="11"/>
  <c r="C16" i="11"/>
  <c r="K15" i="11"/>
  <c r="C15" i="11"/>
  <c r="K14" i="11"/>
  <c r="C14" i="11"/>
  <c r="K13" i="11"/>
  <c r="C13" i="11"/>
  <c r="K12" i="11"/>
  <c r="C12" i="11"/>
  <c r="K11" i="11"/>
  <c r="C11" i="11"/>
  <c r="K10" i="11"/>
  <c r="C10" i="11"/>
  <c r="K9" i="11"/>
  <c r="C9" i="11"/>
  <c r="K8" i="11"/>
  <c r="C8" i="11"/>
  <c r="K7" i="11"/>
  <c r="C7" i="11"/>
  <c r="K63" i="10"/>
  <c r="K62" i="10"/>
  <c r="K61" i="10"/>
  <c r="C61" i="10"/>
  <c r="K60" i="10"/>
  <c r="C60" i="10"/>
  <c r="K59" i="10"/>
  <c r="C59" i="10"/>
  <c r="K58" i="10"/>
  <c r="C58" i="10"/>
  <c r="K57" i="10"/>
  <c r="C57" i="10"/>
  <c r="K56" i="10"/>
  <c r="C56" i="10"/>
  <c r="K55" i="10"/>
  <c r="C55" i="10"/>
  <c r="K54" i="10"/>
  <c r="C54" i="10"/>
  <c r="K53" i="10"/>
  <c r="C53" i="10"/>
  <c r="K52" i="10"/>
  <c r="C52" i="10"/>
  <c r="K51" i="10"/>
  <c r="C51" i="10"/>
  <c r="K50" i="10"/>
  <c r="C50" i="10"/>
  <c r="K49" i="10"/>
  <c r="C49" i="10"/>
  <c r="K48" i="10"/>
  <c r="C48" i="10"/>
  <c r="K47" i="10"/>
  <c r="C47" i="10"/>
  <c r="K46" i="10"/>
  <c r="C46" i="10"/>
  <c r="K45" i="10"/>
  <c r="C45" i="10"/>
  <c r="K44" i="10"/>
  <c r="C44" i="10"/>
  <c r="K43" i="10"/>
  <c r="C43" i="10"/>
  <c r="K42" i="10"/>
  <c r="C42" i="10"/>
  <c r="K41" i="10"/>
  <c r="C41" i="10"/>
  <c r="K40" i="10"/>
  <c r="C40" i="10"/>
  <c r="K39" i="10"/>
  <c r="C39" i="10"/>
  <c r="K38" i="10"/>
  <c r="C38" i="10"/>
  <c r="K37" i="10"/>
  <c r="C37" i="10"/>
  <c r="K36" i="10"/>
  <c r="C36" i="10"/>
  <c r="K35" i="10"/>
  <c r="C35" i="10"/>
  <c r="K34" i="10"/>
  <c r="C34" i="10"/>
  <c r="K33" i="10"/>
  <c r="C33" i="10"/>
  <c r="K32" i="10"/>
  <c r="C32" i="10"/>
  <c r="K31" i="10"/>
  <c r="C31" i="10"/>
  <c r="K30" i="10"/>
  <c r="C30" i="10"/>
  <c r="K29" i="10"/>
  <c r="C29" i="10"/>
  <c r="K28" i="10"/>
  <c r="C28" i="10"/>
  <c r="K27" i="10"/>
  <c r="C27" i="10"/>
  <c r="K26" i="10"/>
  <c r="C26" i="10"/>
  <c r="K25" i="10"/>
  <c r="C25" i="10"/>
  <c r="K24" i="10"/>
  <c r="C24" i="10"/>
  <c r="K23" i="10"/>
  <c r="C23" i="10"/>
  <c r="K22" i="10"/>
  <c r="C22" i="10"/>
  <c r="K21" i="10"/>
  <c r="C21" i="10"/>
  <c r="K20" i="10"/>
  <c r="C20" i="10"/>
  <c r="K19" i="10"/>
  <c r="C19" i="10"/>
  <c r="K18" i="10"/>
  <c r="C18" i="10"/>
  <c r="K17" i="10"/>
  <c r="C17" i="10"/>
  <c r="K16" i="10"/>
  <c r="C16" i="10"/>
  <c r="K15" i="10"/>
  <c r="C15" i="10"/>
  <c r="K14" i="10"/>
  <c r="C14" i="10"/>
  <c r="K13" i="10"/>
  <c r="C13" i="10"/>
  <c r="K12" i="10"/>
  <c r="C12" i="10"/>
  <c r="K11" i="10"/>
  <c r="C11" i="10"/>
  <c r="K10" i="10"/>
  <c r="C10" i="10"/>
  <c r="K9" i="10"/>
  <c r="C9" i="10"/>
  <c r="K8" i="10"/>
  <c r="C8" i="10"/>
  <c r="K7" i="10"/>
  <c r="C7" i="10"/>
  <c r="J25" i="9"/>
  <c r="J24" i="9"/>
  <c r="J23" i="9"/>
  <c r="J22" i="9"/>
  <c r="J21" i="9"/>
  <c r="J20" i="9"/>
  <c r="J19" i="9"/>
  <c r="J18" i="9"/>
  <c r="J17" i="9"/>
  <c r="J16" i="9"/>
  <c r="J15" i="9"/>
  <c r="F9" i="9"/>
</calcChain>
</file>

<file path=xl/connections.xml><?xml version="1.0" encoding="utf-8"?>
<connections xmlns="http://schemas.openxmlformats.org/spreadsheetml/2006/main">
  <connection id="1" keepAlive="1" name="ThisWorkbookDataModel" description="Modèle de donnée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Gestion de stock (Récupéré).xlsm!Mois" type="102" refreshedVersion="6" minRefreshableVersion="5">
    <extLst>
      <ext xmlns:x15="http://schemas.microsoft.com/office/spreadsheetml/2010/11/main" uri="{DE250136-89BD-433C-8126-D09CA5730AF9}">
        <x15:connection id="Mois">
          <x15:rangePr sourceName="_xlcn.WorksheetConnection_GestiondestockRécupéré.xlsmMois"/>
        </x15:connection>
      </ext>
    </extLst>
  </connection>
  <connection id="3" name="WorksheetConnection_Gestion de stock.xlsm!lesCategories" type="102" refreshedVersion="6" minRefreshableVersion="5">
    <extLst>
      <ext xmlns:x15="http://schemas.microsoft.com/office/spreadsheetml/2010/11/main" uri="{DE250136-89BD-433C-8126-D09CA5730AF9}">
        <x15:connection id="lesCategories">
          <x15:rangePr sourceName="_xlcn.WorksheetConnection_Gestiondestock.xlsmlesCategories"/>
        </x15:connection>
      </ext>
    </extLst>
  </connection>
  <connection id="4" name="WorksheetConnection_Gestion de stock.xlsm!lesMois" type="102" refreshedVersion="6" minRefreshableVersion="5">
    <extLst>
      <ext xmlns:x15="http://schemas.microsoft.com/office/spreadsheetml/2010/11/main" uri="{DE250136-89BD-433C-8126-D09CA5730AF9}">
        <x15:connection id="lesMois">
          <x15:rangePr sourceName="_xlcn.WorksheetConnection_Gestiondestock.xlsmlesMois"/>
        </x15:connection>
      </ext>
    </extLst>
  </connection>
  <connection id="5" name="WorksheetConnection_Gestion de stock.xlsm!lesReferences" type="102" refreshedVersion="6" minRefreshableVersion="5">
    <extLst>
      <ext xmlns:x15="http://schemas.microsoft.com/office/spreadsheetml/2010/11/main" uri="{DE250136-89BD-433C-8126-D09CA5730AF9}">
        <x15:connection id="lesReferences">
          <x15:rangePr sourceName="_xlcn.WorksheetConnection_Gestiondestock.xlsmlesReferences"/>
        </x15:connection>
      </ext>
    </extLst>
  </connection>
  <connection id="6" name="WorksheetConnection_Gestion de stock.xlsm!listeAchats" type="102" refreshedVersion="6" minRefreshableVersion="5">
    <extLst>
      <ext xmlns:x15="http://schemas.microsoft.com/office/spreadsheetml/2010/11/main" uri="{DE250136-89BD-433C-8126-D09CA5730AF9}">
        <x15:connection id="listeAchats">
          <x15:rangePr sourceName="_xlcn.WorksheetConnection_Gestiondestock.xlsmlisteAchats"/>
        </x15:connection>
      </ext>
    </extLst>
  </connection>
  <connection id="7" name="WorksheetConnection_Gestion de stock.xlsm!listeVentes" type="102" refreshedVersion="6" minRefreshableVersion="5">
    <extLst>
      <ext xmlns:x15="http://schemas.microsoft.com/office/spreadsheetml/2010/11/main" uri="{DE250136-89BD-433C-8126-D09CA5730AF9}">
        <x15:connection id="listeVentes">
          <x15:rangePr sourceName="_xlcn.WorksheetConnection_Gestiondestock.xlsmlisteVentes"/>
        </x15:connection>
      </ext>
    </extLst>
  </connection>
</connections>
</file>

<file path=xl/sharedStrings.xml><?xml version="1.0" encoding="utf-8"?>
<sst xmlns="http://schemas.openxmlformats.org/spreadsheetml/2006/main" count="729" uniqueCount="88">
  <si>
    <t>Désignation</t>
  </si>
  <si>
    <t>Quantité</t>
  </si>
  <si>
    <t>Date</t>
  </si>
  <si>
    <t>Seuil d'alerte</t>
  </si>
  <si>
    <t>Valeur</t>
  </si>
  <si>
    <t>Prix de vente</t>
  </si>
  <si>
    <t>Total</t>
  </si>
  <si>
    <t>Numéro</t>
  </si>
  <si>
    <t>Unité</t>
  </si>
  <si>
    <t>Prix unitaire</t>
  </si>
  <si>
    <t>Stock initial</t>
  </si>
  <si>
    <t>Stock final</t>
  </si>
  <si>
    <t>Entrées</t>
  </si>
  <si>
    <t>Sorties</t>
  </si>
  <si>
    <t>Référence</t>
  </si>
  <si>
    <t>Catégorie</t>
  </si>
  <si>
    <t>Statue</t>
  </si>
  <si>
    <r>
      <t xml:space="preserve">Nouvelle </t>
    </r>
    <r>
      <rPr>
        <b/>
        <sz val="14"/>
        <color rgb="FF51459E"/>
        <rFont val="Gilroy-Bold"/>
      </rPr>
      <t>opération</t>
    </r>
  </si>
  <si>
    <t>Oreo</t>
  </si>
  <si>
    <t xml:space="preserve">Biscuits </t>
  </si>
  <si>
    <t xml:space="preserve">1 unité </t>
  </si>
  <si>
    <t>Pack de 10 unités</t>
  </si>
  <si>
    <t>Pack de 20 unités</t>
  </si>
  <si>
    <t xml:space="preserve"> Total</t>
  </si>
  <si>
    <t xml:space="preserve">Unité </t>
  </si>
  <si>
    <t xml:space="preserve"> Seuil d'alerte</t>
  </si>
  <si>
    <t xml:space="preserve"> Stock initial</t>
  </si>
  <si>
    <t xml:space="preserve"> Prix unitaire</t>
  </si>
  <si>
    <t>Veuillez saisir les détaille de l'opération de vente ou d'achat</t>
  </si>
  <si>
    <t xml:space="preserve">Catégorie </t>
  </si>
  <si>
    <t xml:space="preserve">Désignation </t>
  </si>
  <si>
    <t xml:space="preserve">Référence  </t>
  </si>
  <si>
    <t>1 unité</t>
  </si>
  <si>
    <t xml:space="preserve">Quantité </t>
  </si>
  <si>
    <r>
      <rPr>
        <b/>
        <sz val="13"/>
        <color theme="1" tint="4.9989318521683403E-2"/>
        <rFont val="Gilroy-Bold"/>
      </rPr>
      <t>Détails d'</t>
    </r>
    <r>
      <rPr>
        <b/>
        <sz val="13"/>
        <color rgb="FF51459E"/>
        <rFont val="Gilroy-Bold"/>
      </rPr>
      <t>inventaire</t>
    </r>
  </si>
  <si>
    <t>C1</t>
  </si>
  <si>
    <t>C2</t>
  </si>
  <si>
    <t>CUMP</t>
  </si>
  <si>
    <t>E1</t>
  </si>
  <si>
    <t>E2</t>
  </si>
  <si>
    <t>E3</t>
  </si>
  <si>
    <t>E4</t>
  </si>
  <si>
    <r>
      <t xml:space="preserve">Nouvelle </t>
    </r>
    <r>
      <rPr>
        <b/>
        <sz val="14"/>
        <color rgb="FF51459E"/>
        <rFont val="Gilroy-Bold"/>
      </rPr>
      <t>marchandise</t>
    </r>
    <r>
      <rPr>
        <b/>
        <sz val="14"/>
        <color theme="1"/>
        <rFont val="Gilroy-Bold"/>
      </rPr>
      <t xml:space="preserve"> </t>
    </r>
  </si>
  <si>
    <r>
      <t xml:space="preserve">Liste des </t>
    </r>
    <r>
      <rPr>
        <b/>
        <sz val="14"/>
        <color rgb="FF51459E"/>
        <rFont val="Gilroy-Bold"/>
      </rPr>
      <t>marchandises</t>
    </r>
    <r>
      <rPr>
        <b/>
        <sz val="14"/>
        <color theme="1"/>
        <rFont val="Gilroy-Bold"/>
      </rPr>
      <t xml:space="preserve"> </t>
    </r>
    <r>
      <rPr>
        <b/>
        <sz val="14"/>
        <color rgb="FF51459E"/>
        <rFont val="Gilroy-Bold"/>
      </rPr>
      <t>:</t>
    </r>
  </si>
  <si>
    <r>
      <t xml:space="preserve">Liste des </t>
    </r>
    <r>
      <rPr>
        <b/>
        <sz val="14"/>
        <color rgb="FF51459E"/>
        <rFont val="Gilroy-Bold"/>
      </rPr>
      <t>entrées</t>
    </r>
    <r>
      <rPr>
        <b/>
        <sz val="14"/>
        <color theme="1"/>
        <rFont val="Gilroy-Bold"/>
      </rPr>
      <t xml:space="preserve"> </t>
    </r>
    <r>
      <rPr>
        <b/>
        <sz val="14"/>
        <color rgb="FF51459E"/>
        <rFont val="Gilroy-Bold"/>
      </rPr>
      <t>:</t>
    </r>
  </si>
  <si>
    <r>
      <t xml:space="preserve">Liste des </t>
    </r>
    <r>
      <rPr>
        <b/>
        <sz val="14"/>
        <color rgb="FF51459E"/>
        <rFont val="Gilroy-Bold"/>
      </rPr>
      <t>sorties</t>
    </r>
    <r>
      <rPr>
        <b/>
        <sz val="14"/>
        <color theme="1"/>
        <rFont val="Gilroy-Bold"/>
      </rPr>
      <t xml:space="preserve"> </t>
    </r>
    <r>
      <rPr>
        <b/>
        <sz val="14"/>
        <color rgb="FF51459E"/>
        <rFont val="Gilroy-Bold"/>
      </rPr>
      <t>:</t>
    </r>
  </si>
  <si>
    <t>Détails de toutes les transactions de sortie</t>
  </si>
  <si>
    <t>Détails de toutes les transactions d'entrée</t>
  </si>
  <si>
    <t>Veuillez saisir les informations de chaque marchandise</t>
  </si>
  <si>
    <t xml:space="preserve">PLAYSTATION PS5 </t>
  </si>
  <si>
    <t>NINTENDO SWITCH</t>
  </si>
  <si>
    <t>GOOGLE PIXEL 5</t>
  </si>
  <si>
    <t>S1</t>
  </si>
  <si>
    <t>S2</t>
  </si>
  <si>
    <t>B1</t>
  </si>
  <si>
    <t>B2</t>
  </si>
  <si>
    <t>B3</t>
  </si>
  <si>
    <t>Coût d'achat</t>
  </si>
  <si>
    <t>SmartPhone</t>
  </si>
  <si>
    <t>Consoles</t>
  </si>
  <si>
    <t>Electro</t>
  </si>
  <si>
    <t>Cuisinière CANDY</t>
  </si>
  <si>
    <t>Cuisinière SIERA</t>
  </si>
  <si>
    <t>Réfrigérateur SIERA</t>
  </si>
  <si>
    <t>Réfrigérateur WHIRLPOOL</t>
  </si>
  <si>
    <t xml:space="preserve">Réfrigérateur WHIRLPOOL </t>
  </si>
  <si>
    <t>IPHONE 13 PRO</t>
  </si>
  <si>
    <t>Somme de Stock final</t>
  </si>
  <si>
    <t>Somme de Valeur</t>
  </si>
  <si>
    <t>Somme de Quantité</t>
  </si>
  <si>
    <t>Somme de Total</t>
  </si>
  <si>
    <t>Somme de Stock initial</t>
  </si>
  <si>
    <t>Étiquettes de lignes</t>
  </si>
  <si>
    <t>Total général</t>
  </si>
  <si>
    <t>Biscuits</t>
  </si>
  <si>
    <t>janv</t>
  </si>
  <si>
    <t>févr</t>
  </si>
  <si>
    <t>mars</t>
  </si>
  <si>
    <t>avr</t>
  </si>
  <si>
    <t>mai</t>
  </si>
  <si>
    <t>Somme de Quantité2</t>
  </si>
  <si>
    <t>Max</t>
  </si>
  <si>
    <t>Somme de Total2</t>
  </si>
  <si>
    <t>(Plusieurs éléments)</t>
  </si>
  <si>
    <t>Orio</t>
  </si>
  <si>
    <t>Biscuit</t>
  </si>
  <si>
    <t>mois</t>
  </si>
  <si>
    <t>Mis à jour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</si>
</sst>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\ [$€-40C]_-;\-* #,##0.00\ [$€-40C]_-;_-* &quot;-&quot;??\ [$€-40C]_-;_-@_-"/>
    <numFmt numFmtId="165" formatCode="_-* #,##0\ [$€-40C]_-;\-* #,##0\ [$€-40C]_-;_-* &quot;-&quot;??\ [$€-40C]_-;_-@_-"/>
    <numFmt numFmtId="166" formatCode="[$-F800]dddd\,\ mmmm\ dd\,\ yyyy"/>
  </numFmts>
  <fonts count="2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51459E"/>
      <name val="Calibri"/>
      <family val="2"/>
      <scheme val="minor"/>
    </font>
    <font>
      <sz val="11"/>
      <color rgb="FFFAFAFA"/>
      <name val="Calibri"/>
      <family val="2"/>
      <scheme val="minor"/>
    </font>
    <font>
      <b/>
      <sz val="11"/>
      <color theme="1"/>
      <name val="Open Sans"/>
      <family val="2"/>
    </font>
    <font>
      <b/>
      <sz val="14"/>
      <color theme="1"/>
      <name val="Gilroy-Bold"/>
    </font>
    <font>
      <b/>
      <sz val="14"/>
      <color rgb="FF51459E"/>
      <name val="Gilroy-Bold"/>
    </font>
    <font>
      <b/>
      <sz val="10"/>
      <color theme="1"/>
      <name val="Gilroy-SemiBold"/>
    </font>
    <font>
      <sz val="10"/>
      <color theme="1" tint="4.9989318521683403E-2"/>
      <name val="Gilroy-SemiBold"/>
    </font>
    <font>
      <sz val="8"/>
      <color theme="1"/>
      <name val="Gilroy-Medium"/>
    </font>
    <font>
      <b/>
      <sz val="10"/>
      <color theme="1" tint="4.9989318521683403E-2"/>
      <name val="Gilroy-SemiBold"/>
    </font>
    <font>
      <sz val="10"/>
      <color rgb="FF51459E"/>
      <name val="Gilroy-SemiBold"/>
    </font>
    <font>
      <sz val="11"/>
      <color rgb="FF51459E"/>
      <name val="Product Sans"/>
      <family val="2"/>
    </font>
    <font>
      <sz val="8"/>
      <name val="Calibri"/>
      <family val="2"/>
      <scheme val="minor"/>
    </font>
    <font>
      <b/>
      <sz val="12"/>
      <color theme="1"/>
      <name val="Gilroy-Bold"/>
    </font>
    <font>
      <b/>
      <sz val="13"/>
      <color theme="1"/>
      <name val="Gilroy-Bold"/>
    </font>
    <font>
      <b/>
      <sz val="13"/>
      <color rgb="FF51459E"/>
      <name val="Gilroy-Bold"/>
    </font>
    <font>
      <b/>
      <sz val="13"/>
      <color theme="1" tint="4.9989318521683403E-2"/>
      <name val="Gilroy-Bold"/>
    </font>
    <font>
      <sz val="9"/>
      <color theme="1" tint="4.9989318521683403E-2"/>
      <name val="Gilroy-Medium"/>
    </font>
    <font>
      <sz val="9"/>
      <color theme="1"/>
      <name val="Gilroy-SemiBold"/>
    </font>
    <font>
      <sz val="9"/>
      <color theme="1"/>
      <name val="Calibri"/>
      <family val="2"/>
      <scheme val="minor"/>
    </font>
    <font>
      <b/>
      <sz val="9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51459E"/>
        <bgColor indexed="64"/>
      </patternFill>
    </fill>
  </fills>
  <borders count="8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4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3" fillId="4" borderId="0" xfId="0" applyFont="1" applyFill="1"/>
    <xf numFmtId="0" fontId="0" fillId="4" borderId="0" xfId="0" applyFill="1"/>
    <xf numFmtId="0" fontId="4" fillId="2" borderId="0" xfId="0" applyFont="1" applyFill="1"/>
    <xf numFmtId="0" fontId="3" fillId="3" borderId="0" xfId="0" applyFont="1" applyFill="1"/>
    <xf numFmtId="0" fontId="5" fillId="3" borderId="0" xfId="0" applyFont="1" applyFill="1" applyAlignment="1">
      <alignment horizontal="left" vertical="center"/>
    </xf>
    <xf numFmtId="0" fontId="0" fillId="3" borderId="0" xfId="0" applyFill="1" applyAlignment="1"/>
    <xf numFmtId="0" fontId="6" fillId="3" borderId="0" xfId="0" applyFont="1" applyFill="1" applyAlignment="1">
      <alignment horizontal="left"/>
    </xf>
    <xf numFmtId="0" fontId="9" fillId="2" borderId="0" xfId="0" applyFont="1" applyFill="1" applyAlignment="1">
      <alignment horizontal="left" vertical="center"/>
    </xf>
    <xf numFmtId="0" fontId="10" fillId="3" borderId="0" xfId="0" applyFont="1" applyFill="1" applyAlignment="1"/>
    <xf numFmtId="0" fontId="12" fillId="3" borderId="0" xfId="0" applyFont="1" applyFill="1" applyAlignment="1">
      <alignment vertical="center"/>
    </xf>
    <xf numFmtId="164" fontId="12" fillId="3" borderId="0" xfId="0" applyNumberFormat="1" applyFont="1" applyFill="1" applyAlignment="1">
      <alignment vertical="center"/>
    </xf>
    <xf numFmtId="0" fontId="12" fillId="3" borderId="0" xfId="0" applyFont="1" applyFill="1" applyAlignment="1">
      <alignment horizontal="center" vertical="center"/>
    </xf>
    <xf numFmtId="14" fontId="12" fillId="3" borderId="0" xfId="0" applyNumberFormat="1" applyFont="1" applyFill="1" applyAlignment="1">
      <alignment horizontal="center" vertical="center"/>
    </xf>
    <xf numFmtId="0" fontId="9" fillId="2" borderId="2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0" fontId="12" fillId="3" borderId="1" xfId="0" applyFont="1" applyFill="1" applyBorder="1" applyAlignment="1">
      <alignment vertical="center"/>
    </xf>
    <xf numFmtId="164" fontId="12" fillId="3" borderId="1" xfId="0" applyNumberFormat="1" applyFont="1" applyFill="1" applyBorder="1" applyAlignme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5" fillId="3" borderId="0" xfId="0" applyFont="1" applyFill="1" applyAlignment="1"/>
    <xf numFmtId="0" fontId="19" fillId="3" borderId="0" xfId="0" applyFont="1" applyFill="1" applyAlignment="1"/>
    <xf numFmtId="0" fontId="12" fillId="3" borderId="0" xfId="0" applyFont="1" applyFill="1" applyAlignment="1">
      <alignment horizontal="left" vertical="center" indent="1"/>
    </xf>
    <xf numFmtId="0" fontId="11" fillId="3" borderId="0" xfId="0" applyFont="1" applyFill="1" applyBorder="1" applyAlignment="1">
      <alignment horizontal="right" vertical="center" indent="1"/>
    </xf>
    <xf numFmtId="0" fontId="8" fillId="3" borderId="0" xfId="0" applyFont="1" applyFill="1" applyAlignment="1">
      <alignment horizontal="right" vertical="center" indent="1"/>
    </xf>
    <xf numFmtId="0" fontId="9" fillId="3" borderId="0" xfId="0" applyFont="1" applyFill="1" applyBorder="1" applyAlignment="1">
      <alignment horizontal="right" vertical="center" indent="1"/>
    </xf>
    <xf numFmtId="0" fontId="13" fillId="2" borderId="0" xfId="0" applyFont="1" applyFill="1" applyAlignment="1">
      <alignment horizontal="left" vertical="center"/>
    </xf>
    <xf numFmtId="0" fontId="6" fillId="3" borderId="0" xfId="0" applyFont="1" applyFill="1" applyAlignment="1">
      <alignment horizontal="left"/>
    </xf>
    <xf numFmtId="0" fontId="13" fillId="2" borderId="0" xfId="0" applyFont="1" applyFill="1" applyAlignment="1">
      <alignment horizontal="center" vertical="center"/>
    </xf>
    <xf numFmtId="164" fontId="13" fillId="2" borderId="0" xfId="0" applyNumberFormat="1" applyFont="1" applyFill="1" applyAlignment="1">
      <alignment horizontal="center" vertical="center"/>
    </xf>
    <xf numFmtId="14" fontId="13" fillId="2" borderId="0" xfId="0" applyNumberFormat="1" applyFont="1" applyFill="1" applyAlignment="1">
      <alignment horizontal="left" vertical="center"/>
    </xf>
    <xf numFmtId="0" fontId="20" fillId="3" borderId="0" xfId="0" applyFont="1" applyFill="1" applyAlignment="1">
      <alignment horizontal="left" vertical="center"/>
    </xf>
    <xf numFmtId="164" fontId="13" fillId="2" borderId="0" xfId="0" applyNumberFormat="1" applyFont="1" applyFill="1" applyAlignment="1">
      <alignment horizontal="left" vertical="center"/>
    </xf>
    <xf numFmtId="14" fontId="0" fillId="3" borderId="0" xfId="0" applyNumberFormat="1" applyFill="1"/>
    <xf numFmtId="0" fontId="12" fillId="3" borderId="0" xfId="0" applyFont="1" applyFill="1" applyAlignment="1">
      <alignment horizontal="left" vertical="center"/>
    </xf>
    <xf numFmtId="164" fontId="12" fillId="3" borderId="0" xfId="0" applyNumberFormat="1" applyFont="1" applyFill="1" applyAlignment="1">
      <alignment horizontal="center" vertical="center"/>
    </xf>
    <xf numFmtId="0" fontId="12" fillId="3" borderId="0" xfId="0" applyFont="1" applyFill="1" applyAlignment="1">
      <alignment horizontal="right" vertical="center"/>
    </xf>
    <xf numFmtId="0" fontId="3" fillId="4" borderId="0" xfId="0" applyFont="1" applyFill="1" applyAlignment="1">
      <alignment horizontal="right"/>
    </xf>
    <xf numFmtId="0" fontId="0" fillId="3" borderId="0" xfId="0" applyFill="1" applyAlignment="1">
      <alignment horizontal="right"/>
    </xf>
    <xf numFmtId="0" fontId="0" fillId="2" borderId="0" xfId="0" applyFill="1" applyAlignment="1">
      <alignment horizontal="right"/>
    </xf>
    <xf numFmtId="164" fontId="12" fillId="3" borderId="0" xfId="0" applyNumberFormat="1" applyFont="1" applyFill="1" applyAlignment="1">
      <alignment horizontal="left" vertical="center"/>
    </xf>
    <xf numFmtId="0" fontId="13" fillId="2" borderId="5" xfId="0" applyFont="1" applyFill="1" applyBorder="1" applyAlignment="1">
      <alignment vertical="center"/>
    </xf>
    <xf numFmtId="164" fontId="13" fillId="2" borderId="5" xfId="0" applyNumberFormat="1" applyFont="1" applyFill="1" applyBorder="1" applyAlignment="1">
      <alignment vertical="center"/>
    </xf>
    <xf numFmtId="164" fontId="13" fillId="2" borderId="5" xfId="1" applyNumberFormat="1" applyFont="1" applyFill="1" applyBorder="1" applyAlignment="1">
      <alignment vertical="center"/>
    </xf>
    <xf numFmtId="0" fontId="12" fillId="3" borderId="0" xfId="0" applyFont="1" applyFill="1" applyBorder="1" applyAlignment="1">
      <alignment vertical="center"/>
    </xf>
    <xf numFmtId="164" fontId="12" fillId="3" borderId="0" xfId="0" applyNumberFormat="1" applyFont="1" applyFill="1" applyBorder="1" applyAlignment="1">
      <alignment vertical="center"/>
    </xf>
    <xf numFmtId="0" fontId="12" fillId="3" borderId="0" xfId="0" applyFont="1" applyFill="1" applyBorder="1" applyAlignment="1">
      <alignment horizontal="left" vertical="center"/>
    </xf>
    <xf numFmtId="164" fontId="12" fillId="3" borderId="0" xfId="0" applyNumberFormat="1" applyFont="1" applyFill="1" applyBorder="1" applyAlignment="1">
      <alignment horizontal="left" vertical="center"/>
    </xf>
    <xf numFmtId="0" fontId="12" fillId="3" borderId="0" xfId="0" applyFont="1" applyFill="1" applyBorder="1" applyAlignment="1">
      <alignment horizontal="center" vertical="center"/>
    </xf>
    <xf numFmtId="164" fontId="12" fillId="3" borderId="0" xfId="0" applyNumberFormat="1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right" vertical="center"/>
    </xf>
    <xf numFmtId="14" fontId="12" fillId="3" borderId="0" xfId="0" applyNumberFormat="1" applyFont="1" applyFill="1" applyBorder="1" applyAlignment="1">
      <alignment horizontal="center" vertical="center"/>
    </xf>
    <xf numFmtId="164" fontId="0" fillId="2" borderId="0" xfId="0" applyNumberFormat="1" applyFill="1"/>
    <xf numFmtId="0" fontId="12" fillId="3" borderId="6" xfId="0" applyFont="1" applyFill="1" applyBorder="1" applyAlignment="1">
      <alignment horizontal="left" vertical="center" indent="1"/>
    </xf>
    <xf numFmtId="0" fontId="0" fillId="0" borderId="0" xfId="0" applyNumberFormat="1"/>
    <xf numFmtId="164" fontId="0" fillId="0" borderId="0" xfId="0" applyNumberFormat="1"/>
    <xf numFmtId="0" fontId="12" fillId="3" borderId="7" xfId="0" applyFont="1" applyFill="1" applyBorder="1" applyAlignment="1">
      <alignment horizontal="left" vertical="center"/>
    </xf>
    <xf numFmtId="0" fontId="12" fillId="3" borderId="7" xfId="0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21" fillId="0" borderId="0" xfId="0" applyFont="1"/>
    <xf numFmtId="0" fontId="0" fillId="2" borderId="0" xfId="0" applyFill="1" applyAlignment="1">
      <alignment horizontal="center" vertical="center"/>
    </xf>
    <xf numFmtId="166" fontId="0" fillId="2" borderId="0" xfId="1" applyNumberFormat="1" applyFont="1" applyFill="1" applyAlignment="1">
      <alignment horizontal="center" vertical="center"/>
    </xf>
    <xf numFmtId="14" fontId="0" fillId="2" borderId="0" xfId="0" applyNumberFormat="1" applyFill="1"/>
    <xf numFmtId="0" fontId="10" fillId="3" borderId="0" xfId="0" applyFont="1" applyFill="1" applyAlignment="1">
      <alignment horizontal="left"/>
    </xf>
    <xf numFmtId="0" fontId="22" fillId="2" borderId="0" xfId="0" applyFont="1" applyFill="1" applyAlignment="1">
      <alignment horizontal="right" vertical="center"/>
    </xf>
    <xf numFmtId="0" fontId="6" fillId="3" borderId="0" xfId="0" applyFont="1" applyFill="1" applyAlignment="1">
      <alignment horizontal="left"/>
    </xf>
    <xf numFmtId="0" fontId="16" fillId="3" borderId="0" xfId="0" applyFont="1" applyFill="1" applyAlignment="1">
      <alignment horizontal="left"/>
    </xf>
    <xf numFmtId="0" fontId="19" fillId="3" borderId="0" xfId="0" applyFont="1" applyFill="1" applyAlignment="1">
      <alignment horizontal="left"/>
    </xf>
    <xf numFmtId="0" fontId="16" fillId="3" borderId="0" xfId="0" applyFont="1" applyFill="1" applyAlignment="1">
      <alignment horizontal="left" vertical="center"/>
    </xf>
  </cellXfs>
  <cellStyles count="2">
    <cellStyle name="Normal" xfId="0" builtinId="0"/>
    <cellStyle name="Pourcentage" xfId="1" builtinId="5"/>
  </cellStyles>
  <dxfs count="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numFmt numFmtId="164" formatCode="_-* #,##0.00\ [$€-40C]_-;\-* #,##0.00\ [$€-40C]_-;_-* &quot;-&quot;??\ [$€-40C]_-;_-@_-"/>
    </dxf>
    <dxf>
      <numFmt numFmtId="2" formatCode="0.00"/>
    </dxf>
    <dxf>
      <numFmt numFmtId="168" formatCode="0.000"/>
    </dxf>
    <dxf>
      <numFmt numFmtId="169" formatCode="0.0000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32" formatCode="_-* #,##0\ &quot;CFA&quot;_-;\-* #,##0\ &quot;CFA&quot;_-;_-* &quot;-&quot;\ &quot;CFA&quot;_-;_-@_-"/>
    </dxf>
    <dxf>
      <numFmt numFmtId="165" formatCode="_-* #,##0\ [$€-40C]_-;\-* #,##0\ [$€-40C]_-;_-* &quot;-&quot;??\ [$€-40C]_-;_-@_-"/>
    </dxf>
    <dxf>
      <numFmt numFmtId="165" formatCode="_-* #,##0\ [$€-40C]_-;\-* #,##0\ [$€-40C]_-;_-* &quot;-&quot;??\ [$€-40C]_-;_-@_-"/>
    </dxf>
    <dxf>
      <numFmt numFmtId="165" formatCode="_-* #,##0\ [$€-40C]_-;\-* #,##0\ [$€-40C]_-;_-* &quot;-&quot;??\ [$€-40C]_-;_-@_-"/>
    </dxf>
    <dxf>
      <numFmt numFmtId="167" formatCode="_-* #,##0.0\ [$€-40C]_-;\-* #,##0.0\ [$€-40C]_-;_-* &quot;-&quot;??\ [$€-40C]_-;_-@_-"/>
    </dxf>
    <dxf>
      <numFmt numFmtId="167" formatCode="_-* #,##0.0\ [$€-40C]_-;\-* #,##0.0\ [$€-40C]_-;_-* &quot;-&quot;??\ [$€-40C]_-;_-@_-"/>
    </dxf>
    <dxf>
      <numFmt numFmtId="167" formatCode="_-* #,##0.0\ [$€-40C]_-;\-* #,##0.0\ [$€-40C]_-;_-* &quot;-&quot;??\ [$€-40C]_-;_-@_-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165" formatCode="_-* #,##0\ [$€-40C]_-;\-* #,##0\ [$€-40C]_-;_-* &quot;-&quot;??\ [$€-40C]_-;_-@_-"/>
    </dxf>
    <dxf>
      <numFmt numFmtId="167" formatCode="_-* #,##0.0\ [$€-40C]_-;\-* #,##0.0\ [$€-40C]_-;_-* &quot;-&quot;??\ [$€-40C]_-;_-@_-"/>
    </dxf>
    <dxf>
      <numFmt numFmtId="164" formatCode="_-* #,##0.00\ [$€-40C]_-;\-* #,##0.00\ [$€-40C]_-;_-* &quot;-&quot;??\ [$€-40C]_-;_-@_-"/>
    </dxf>
    <dxf>
      <numFmt numFmtId="165" formatCode="_-* #,##0\ [$€-40C]_-;\-* #,##0\ [$€-40C]_-;_-* &quot;-&quot;??\ [$€-40C]_-;_-@_-"/>
    </dxf>
    <dxf>
      <numFmt numFmtId="167" formatCode="_-* #,##0.0\ [$€-40C]_-;\-* #,##0.0\ [$€-40C]_-;_-* &quot;-&quot;??\ [$€-40C]_-;_-@_-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13" formatCode="0%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font>
        <strike val="0"/>
        <outline val="0"/>
        <shadow val="0"/>
        <u val="none"/>
        <vertAlign val="baseline"/>
        <sz val="10"/>
        <color rgb="FF51459E"/>
        <name val="Gilroy-SemiBold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color rgb="FF51459E"/>
        <name val="Calibri"/>
        <scheme val="minor"/>
      </font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1"/>
        </horizontal>
      </border>
    </dxf>
    <dxf>
      <font>
        <color rgb="FFFF0000"/>
      </font>
    </dxf>
    <dxf>
      <font>
        <color rgb="FF01B300"/>
      </font>
    </dxf>
    <dxf>
      <font>
        <color rgb="FFFF7F00"/>
      </font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51459E"/>
        <name val="Calibri"/>
        <scheme val="minor"/>
      </font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51459E"/>
        <name val="Calibri"/>
        <scheme val="minor"/>
      </font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51459E"/>
        <name val="Calibri"/>
        <scheme val="minor"/>
      </font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</dxf>
    <dxf>
      <font>
        <b/>
        <i val="0"/>
        <sz val="11"/>
        <color theme="1"/>
        <name val="Product Sans"/>
        <scheme val="none"/>
      </font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none">
          <bgColor auto="1"/>
        </patternFill>
      </fill>
      <border>
        <vertical/>
        <horizontal/>
      </border>
    </dxf>
    <dxf>
      <font>
        <color theme="1"/>
      </font>
      <fill>
        <patternFill patternType="solid"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z val="11"/>
        <color theme="1"/>
        <name val="Product Sans"/>
        <scheme val="none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</dxfs>
  <tableStyles count="3" defaultTableStyle="TableStyleMedium2" defaultPivotStyle="PivotStyleLight16">
    <tableStyle name="style 1" pivot="0" table="0" count="10">
      <tableStyleElement type="wholeTable" dxfId="94"/>
      <tableStyleElement type="headerRow" dxfId="93"/>
    </tableStyle>
    <tableStyle name="style 2" pivot="0" table="0" count="10">
      <tableStyleElement type="wholeTable" dxfId="92"/>
      <tableStyleElement type="headerRow" dxfId="91"/>
    </tableStyle>
    <tableStyle name="Style2" pivot="0" table="0" count="10">
      <tableStyleElement type="wholeTable" dxfId="90"/>
      <tableStyleElement type="headerRow" dxfId="89"/>
    </tableStyle>
  </tableStyles>
  <colors>
    <mruColors>
      <color rgb="FF999999"/>
      <color rgb="FFFFFCF7"/>
      <color rgb="FFFFE2AF"/>
      <color rgb="FF51459E"/>
      <color rgb="FFF2E9FF"/>
      <color rgb="FF4C47B9"/>
      <color rgb="FFFFFFFF"/>
      <color rgb="FFFAFAFA"/>
      <color rgb="FFA6A6A6"/>
      <color rgb="FFF5F5F5"/>
    </mruColors>
  </colors>
  <extLst>
    <ext xmlns:x14="http://schemas.microsoft.com/office/spreadsheetml/2009/9/main" uri="{46F421CA-312F-682f-3DD2-61675219B42D}">
      <x14:dxfs count="24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0"/>
            <color theme="0"/>
            <name val="Gilroy-SemiBold"/>
            <scheme val="none"/>
          </font>
          <fill>
            <patternFill patternType="solid">
              <fgColor auto="1"/>
              <bgColor theme="0" tint="-0.3499862666707357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0"/>
            <color theme="0"/>
            <name val="Gilroy-SemiBold"/>
            <scheme val="none"/>
          </font>
          <fill>
            <patternFill patternType="solid">
              <fgColor auto="1"/>
              <bgColor theme="0" tint="-0.3499862666707357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10"/>
            <color theme="4" tint="-0.499984740745262"/>
            <name val="Gilroy-SemiBold"/>
            <scheme val="none"/>
          </font>
          <fill>
            <patternFill patternType="solid">
              <fgColor theme="4" tint="0.59999389629810485"/>
              <bgColor rgb="FFF5F5F5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sz val="10"/>
            <color rgb="FF999999"/>
            <name val="Gilroy-SemiBold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4" tint="0.7999816888943144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2" tint="-0.2499465926084170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none">
              <fgColor indexed="64"/>
              <bgColor auto="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>
              <fgColor theme="2"/>
              <bgColor theme="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none">
              <fgColor indexed="64"/>
              <bgColor auto="1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2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10"/>
            <color theme="4" tint="-0.499984740745262"/>
            <name val="Gilroy-SemiBold"/>
            <scheme val="none"/>
          </font>
          <fill>
            <patternFill patternType="solid">
              <fgColor theme="4"/>
              <bgColor rgb="FFFAFAFA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sz val="10"/>
            <color rgb="FF999999"/>
            <name val="Gilroy-SemiBold"/>
            <scheme val="none"/>
          </font>
          <fill>
            <patternFill patternType="solid">
              <fgColor rgb="FFFFFFFF"/>
              <bgColor rgb="FFFFFFFF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tyle 2">
        <x14:slicerStyle name="style 1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style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tyle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ivotCacheDefinition" Target="pivotCache/pivotCacheDefinition6.xml"/><Relationship Id="rId18" Type="http://schemas.openxmlformats.org/officeDocument/2006/relationships/pivotCacheDefinition" Target="pivotCache/pivotCacheDefinition11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pivotCacheDefinition" Target="pivotCache/pivotCacheDefinition10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9.xml"/><Relationship Id="rId20" Type="http://schemas.openxmlformats.org/officeDocument/2006/relationships/pivotCacheDefinition" Target="pivotCache/pivotCacheDefinition13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8.xml"/><Relationship Id="rId23" Type="http://schemas.microsoft.com/office/2007/relationships/slicerCache" Target="slicerCaches/slicerCache3.xml"/><Relationship Id="rId28" Type="http://schemas.openxmlformats.org/officeDocument/2006/relationships/powerPivotData" Target="model/item.data"/><Relationship Id="rId10" Type="http://schemas.openxmlformats.org/officeDocument/2006/relationships/pivotCacheDefinition" Target="pivotCache/pivotCacheDefinition3.xml"/><Relationship Id="rId19" Type="http://schemas.openxmlformats.org/officeDocument/2006/relationships/pivotCacheDefinition" Target="pivotCache/pivotCacheDefinition12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ivotCacheDefinition" Target="pivotCache/pivotCacheDefinition7.xml"/><Relationship Id="rId22" Type="http://schemas.microsoft.com/office/2007/relationships/slicerCache" Target="slicerCaches/slicerCache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(Récupéré).xlsm]Traitement!StockTotalCategorie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916-4D29-B04C-EC7B66A4391A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916-4D29-B04C-EC7B66A4391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916-4D29-B04C-EC7B66A4391A}"/>
              </c:ext>
            </c:extLst>
          </c:dPt>
          <c:dPt>
            <c:idx val="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916-4D29-B04C-EC7B66A4391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Traitement!$A$11:$A$15</c:f>
              <c:strCache>
                <c:ptCount val="4"/>
                <c:pt idx="0">
                  <c:v>Biscuits 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Traitement!$B$11:$B$15</c:f>
              <c:numCache>
                <c:formatCode>General</c:formatCode>
                <c:ptCount val="4"/>
                <c:pt idx="0">
                  <c:v>30</c:v>
                </c:pt>
                <c:pt idx="1">
                  <c:v>9</c:v>
                </c:pt>
                <c:pt idx="2">
                  <c:v>14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916-4D29-B04C-EC7B66A439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799480697628847"/>
          <c:y val="0.8049958273724368"/>
          <c:w val="0.70363266705859295"/>
          <c:h val="0.15042258195339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(Récupéré).xlsm]Traitement!StockValeurlCategorie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82619930472061"/>
                  <c:h val="0.22792564232057727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4959755459458141E-2"/>
              <c:y val="-5.03703076951552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305781893308655"/>
                  <c:h val="0.22792564232057727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216260100313163"/>
              <c:y val="-0.293826794888405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931890305005296"/>
                  <c:h val="0.22792564232057727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8135439775239707"/>
          <c:y val="0.10388887979974805"/>
          <c:w val="0.47024472337265355"/>
          <c:h val="0.71407446873206959"/>
        </c:manualLayout>
      </c:layout>
      <c:pieChart>
        <c:varyColors val="1"/>
        <c:ser>
          <c:idx val="0"/>
          <c:order val="0"/>
          <c:tx>
            <c:strRef>
              <c:f>Traitement!$B$17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2AD-4816-A368-0EA6C021098B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2AD-4816-A368-0EA6C02109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2AD-4816-A368-0EA6C021098B}"/>
              </c:ext>
            </c:extLst>
          </c:dPt>
          <c:dPt>
            <c:idx val="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2AD-4816-A368-0EA6C021098B}"/>
              </c:ext>
            </c:extLst>
          </c:dPt>
          <c:dLbls>
            <c:dLbl>
              <c:idx val="1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82619930472061"/>
                      <c:h val="0.2279256423205772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2AD-4816-A368-0EA6C021098B}"/>
                </c:ext>
              </c:extLst>
            </c:dLbl>
            <c:dLbl>
              <c:idx val="2"/>
              <c:layout>
                <c:manualLayout>
                  <c:x val="-7.4959755459458141E-2"/>
                  <c:y val="-5.037030769515527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305781893308655"/>
                      <c:h val="0.2279256423205772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02AD-4816-A368-0EA6C021098B}"/>
                </c:ext>
              </c:extLst>
            </c:dLbl>
            <c:dLbl>
              <c:idx val="3"/>
              <c:layout>
                <c:manualLayout>
                  <c:x val="0.1216260100313163"/>
                  <c:y val="-0.293826794888405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931890305005296"/>
                      <c:h val="0.2279256423205772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02AD-4816-A368-0EA6C02109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Traitement!$A$18:$A$22</c:f>
              <c:strCache>
                <c:ptCount val="4"/>
                <c:pt idx="0">
                  <c:v>Biscuits 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Traitement!$B$18:$B$22</c:f>
              <c:numCache>
                <c:formatCode>_-* #,##0.00\ [$€-40C]_-;\-* #,##0.00\ [$€-40C]_-;_-* "-"??\ [$€-40C]_-;_-@_-</c:formatCode>
                <c:ptCount val="4"/>
                <c:pt idx="0">
                  <c:v>721.43523809523811</c:v>
                </c:pt>
                <c:pt idx="1">
                  <c:v>10588.6587366694</c:v>
                </c:pt>
                <c:pt idx="2">
                  <c:v>17750</c:v>
                </c:pt>
                <c:pt idx="3">
                  <c:v>25792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AD-4816-A368-0EA6C0210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7927996009064925"/>
          <c:y val="0.83838072020285614"/>
          <c:w val="0.63591118950586056"/>
          <c:h val="0.111248972101988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(Récupéré).xlsm]Traitement!EntreeTotalCategorie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1.5228626244054518E-2"/>
              <c:y val="-6.400000000000001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078660218234139"/>
                  <c:h val="0.15964031496062989"/>
                </c:manualLayout>
              </c15:layout>
            </c:ext>
          </c:extLst>
        </c:dLbl>
      </c:pivotFmt>
      <c:pivotFmt>
        <c:idx val="8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221585341955712E-3"/>
              <c:y val="-6.813274916547450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682588673329406"/>
                  <c:h val="0.16651466380543631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4.9774421798168628E-2"/>
              <c:y val="-0.1132072603719600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886243386243387"/>
                  <c:h val="0.15254232236528373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2.2842639593908615E-2"/>
              <c:y val="-0.43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139573923817896"/>
                  <c:h val="0.15164031496062991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5913090339016265"/>
          <c:y val="0.18111111111111111"/>
          <c:w val="0.46599990201842045"/>
          <c:h val="0.56699988078206953"/>
        </c:manualLayout>
      </c:layout>
      <c:pieChart>
        <c:varyColors val="1"/>
        <c:ser>
          <c:idx val="0"/>
          <c:order val="0"/>
          <c:tx>
            <c:strRef>
              <c:f>Traitement!$B$24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DC2-4358-A099-A1C8EA1735BB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DC2-4358-A099-A1C8EA1735B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DC2-4358-A099-A1C8EA1735BB}"/>
              </c:ext>
            </c:extLst>
          </c:dPt>
          <c:dPt>
            <c:idx val="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DC2-4358-A099-A1C8EA1735BB}"/>
              </c:ext>
            </c:extLst>
          </c:dPt>
          <c:dLbls>
            <c:dLbl>
              <c:idx val="0"/>
              <c:layout>
                <c:manualLayout>
                  <c:x val="-1.5228626244054518E-2"/>
                  <c:y val="-6.400000000000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078660218234139"/>
                      <c:h val="0.1596403149606298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DC2-4358-A099-A1C8EA1735BB}"/>
                </c:ext>
              </c:extLst>
            </c:dLbl>
            <c:dLbl>
              <c:idx val="1"/>
              <c:layout>
                <c:manualLayout>
                  <c:x val="-6.221585341955712E-3"/>
                  <c:y val="-6.813274916547450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682588673329406"/>
                      <c:h val="0.166514663805436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DC2-4358-A099-A1C8EA1735BB}"/>
                </c:ext>
              </c:extLst>
            </c:dLbl>
            <c:dLbl>
              <c:idx val="2"/>
              <c:layout>
                <c:manualLayout>
                  <c:x val="-4.9774421798168628E-2"/>
                  <c:y val="-0.1132072603719600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886243386243387"/>
                      <c:h val="0.1525423223652837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5DC2-4358-A099-A1C8EA1735BB}"/>
                </c:ext>
              </c:extLst>
            </c:dLbl>
            <c:dLbl>
              <c:idx val="3"/>
              <c:layout>
                <c:manualLayout>
                  <c:x val="2.2842639593908615E-2"/>
                  <c:y val="-0.43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139573923817896"/>
                      <c:h val="0.1516403149606299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5DC2-4358-A099-A1C8EA1735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Traitement!$A$25:$A$29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Traitement!$B$25:$B$29</c:f>
              <c:numCache>
                <c:formatCode>_-* #,##0.00\ [$€-40C]_-;\-* #,##0.00\ [$€-40C]_-;_-* "-"??\ [$€-40C]_-;_-@_-</c:formatCode>
                <c:ptCount val="4"/>
                <c:pt idx="0">
                  <c:v>1593.9500000000003</c:v>
                </c:pt>
                <c:pt idx="1">
                  <c:v>53925</c:v>
                </c:pt>
                <c:pt idx="2">
                  <c:v>68550</c:v>
                </c:pt>
                <c:pt idx="3">
                  <c:v>167360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3F6-4B4D-86AD-C40EC0EB89B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3960005690929633E-2"/>
          <c:y val="0.77399826430709229"/>
          <c:w val="0.71860642510506789"/>
          <c:h val="9.14927826467695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(Récupéré).xlsm]Traitement!EntreeValeurCategorie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2895061728395064"/>
          <c:y val="0.15929840247973295"/>
          <c:w val="0.4709901038604743"/>
          <c:h val="0.57307164997615645"/>
        </c:manualLayout>
      </c:layout>
      <c:pieChart>
        <c:varyColors val="1"/>
        <c:ser>
          <c:idx val="0"/>
          <c:order val="0"/>
          <c:tx>
            <c:strRef>
              <c:f>Traitement!$B$31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6FE-4A9E-BC33-BE01939A4351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6FE-4A9E-BC33-BE01939A435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6FE-4A9E-BC33-BE01939A4351}"/>
              </c:ext>
            </c:extLst>
          </c:dPt>
          <c:dPt>
            <c:idx val="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6FE-4A9E-BC33-BE01939A43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Traitement!$A$32:$A$36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Traitement!$B$32:$B$36</c:f>
              <c:numCache>
                <c:formatCode>General</c:formatCode>
                <c:ptCount val="4"/>
                <c:pt idx="0">
                  <c:v>562</c:v>
                </c:pt>
                <c:pt idx="1">
                  <c:v>90</c:v>
                </c:pt>
                <c:pt idx="2">
                  <c:v>189</c:v>
                </c:pt>
                <c:pt idx="3">
                  <c:v>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84-4BC3-90E3-2AC6E1E8D5E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2113559327448668E-2"/>
          <c:y val="0.82048227550390562"/>
          <c:w val="0.8090314282190284"/>
          <c:h val="8.75820371287543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(Récupéré).xlsm]Traitement!SortieTotalCategorie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59258056660436"/>
                  <c:h val="0.14645078627005814"/>
                </c:manualLayout>
              </c15:layout>
            </c:ext>
          </c:extLst>
        </c:dLbl>
      </c:pivotFmt>
      <c:pivotFmt>
        <c:idx val="8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4742268041237112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373691046351166"/>
                  <c:h val="0.29326829518925396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1082474226804126"/>
              <c:y val="0.150895451932679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463673999512946"/>
                  <c:h val="0.17092037108992411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5.4123711340206174E-2"/>
              <c:y val="-0.3425741874781234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435546716454257"/>
                  <c:h val="0.29326829518925396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33402508328434255"/>
          <c:y val="0.15665712923223654"/>
          <c:w val="0.47118459729570839"/>
          <c:h val="0.57330829756795421"/>
        </c:manualLayout>
      </c:layout>
      <c:pieChart>
        <c:varyColors val="1"/>
        <c:ser>
          <c:idx val="0"/>
          <c:order val="0"/>
          <c:tx>
            <c:strRef>
              <c:f>Traitement!$B$38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07B-47A4-88A8-3D11D6A8BAE5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07B-47A4-88A8-3D11D6A8BAE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07B-47A4-88A8-3D11D6A8BAE5}"/>
              </c:ext>
            </c:extLst>
          </c:dPt>
          <c:dPt>
            <c:idx val="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07B-47A4-88A8-3D11D6A8BAE5}"/>
              </c:ext>
            </c:extLst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fr-F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559258056660436"/>
                      <c:h val="0.1464507862700581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07B-47A4-88A8-3D11D6A8BAE5}"/>
                </c:ext>
              </c:extLst>
            </c:dLbl>
            <c:dLbl>
              <c:idx val="1"/>
              <c:layout>
                <c:manualLayout>
                  <c:x val="-7.4742268041237112E-2"/>
                  <c:y val="0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373691046351166"/>
                      <c:h val="0.2932682951892539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07B-47A4-88A8-3D11D6A8BAE5}"/>
                </c:ext>
              </c:extLst>
            </c:dLbl>
            <c:dLbl>
              <c:idx val="2"/>
              <c:layout>
                <c:manualLayout>
                  <c:x val="-0.11082474226804126"/>
                  <c:y val="0.1508954519326796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463673999512946"/>
                      <c:h val="0.1709203710899241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507B-47A4-88A8-3D11D6A8BAE5}"/>
                </c:ext>
              </c:extLst>
            </c:dLbl>
            <c:dLbl>
              <c:idx val="3"/>
              <c:layout>
                <c:manualLayout>
                  <c:x val="5.4123711340206174E-2"/>
                  <c:y val="-0.34257418747812346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435546716454257"/>
                      <c:h val="0.2932682951892539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507B-47A4-88A8-3D11D6A8BA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Traitement!$A$39:$A$43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Traitement!$B$39:$B$43</c:f>
              <c:numCache>
                <c:formatCode>_-* #,##0\ [$€-40C]_-;\-* #,##0\ [$€-40C]_-;_-* "-"??\ [$€-40C]_-;_-@_-</c:formatCode>
                <c:ptCount val="4"/>
                <c:pt idx="0">
                  <c:v>1141</c:v>
                </c:pt>
                <c:pt idx="1">
                  <c:v>57320</c:v>
                </c:pt>
                <c:pt idx="2">
                  <c:v>67960</c:v>
                </c:pt>
                <c:pt idx="3">
                  <c:v>171510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34D-4CA3-A7AB-92E5DDBA7D9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5101410934744265E-2"/>
          <c:y val="0.82187649022412967"/>
          <c:w val="0.80903103224312856"/>
          <c:h val="8.75820371287543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(Récupéré).xlsm]Traitement!SortieValeurCategorie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4.7500000000000007E-2"/>
              <c:y val="-7.94223826714801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3349999999999989E-2"/>
                  <c:h val="8.5884760794792334E-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5648491083676273"/>
          <c:y val="0.13664818788745828"/>
          <c:w val="0.48035714285714282"/>
          <c:h val="0.58446888412017162"/>
        </c:manualLayout>
      </c:layout>
      <c:pieChart>
        <c:varyColors val="1"/>
        <c:ser>
          <c:idx val="0"/>
          <c:order val="0"/>
          <c:tx>
            <c:strRef>
              <c:f>Traitement!$B$45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0C0-4789-B763-B216089FDC5F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0C0-4789-B763-B216089FDC5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0C0-4789-B763-B216089FDC5F}"/>
              </c:ext>
            </c:extLst>
          </c:dPt>
          <c:dPt>
            <c:idx val="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0C0-4789-B763-B216089FDC5F}"/>
              </c:ext>
            </c:extLst>
          </c:dPt>
          <c:dLbls>
            <c:dLbl>
              <c:idx val="1"/>
              <c:layout>
                <c:manualLayout>
                  <c:x val="-4.7500000000000007E-2"/>
                  <c:y val="-7.942238267148016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6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3349999999999989E-2"/>
                      <c:h val="8.588476079479233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0C0-4789-B763-B216089FDC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Traitement!$A$46:$A$50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Traitement!$B$46:$B$50</c:f>
              <c:numCache>
                <c:formatCode>General</c:formatCode>
                <c:ptCount val="4"/>
                <c:pt idx="0">
                  <c:v>338</c:v>
                </c:pt>
                <c:pt idx="1">
                  <c:v>84</c:v>
                </c:pt>
                <c:pt idx="2">
                  <c:v>133</c:v>
                </c:pt>
                <c:pt idx="3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D84-4A7D-9453-122D991429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952478933960425E-2"/>
          <c:y val="0.78854375298044821"/>
          <c:w val="0.76015159270291111"/>
          <c:h val="8.75820371287543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266874350986501E-2"/>
          <c:y val="0.21452702702702703"/>
          <c:w val="0.92746625129802696"/>
          <c:h val="0.5805330330330330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2E9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Traitement!$E$53:$E$57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Traitement!$F$53:$F$57</c:f>
              <c:numCache>
                <c:formatCode>General</c:formatCode>
                <c:ptCount val="5"/>
                <c:pt idx="0">
                  <c:v>137</c:v>
                </c:pt>
                <c:pt idx="1">
                  <c:v>184</c:v>
                </c:pt>
                <c:pt idx="2">
                  <c:v>142</c:v>
                </c:pt>
                <c:pt idx="3">
                  <c:v>106</c:v>
                </c:pt>
                <c:pt idx="4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5-4861-9E7B-9F4B746466D5}"/>
            </c:ext>
          </c:extLst>
        </c:ser>
        <c:ser>
          <c:idx val="1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545-4861-9E7B-9F4B746466D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545-4861-9E7B-9F4B746466D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45-4861-9E7B-9F4B746466D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545-4861-9E7B-9F4B746466D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Traitement!$E$53:$E$57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Traitement!$G$53:$G$57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45-4861-9E7B-9F4B746466D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26"/>
        <c:overlap val="100"/>
        <c:axId val="1287500064"/>
        <c:axId val="1287510048"/>
      </c:barChart>
      <c:catAx>
        <c:axId val="1287500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fr-FR"/>
          </a:p>
        </c:txPr>
        <c:crossAx val="1287510048"/>
        <c:crosses val="autoZero"/>
        <c:auto val="1"/>
        <c:lblAlgn val="ctr"/>
        <c:lblOffset val="100"/>
        <c:noMultiLvlLbl val="0"/>
      </c:catAx>
      <c:valAx>
        <c:axId val="12875100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8750006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266874350986501E-2"/>
          <c:y val="0.20658158158158157"/>
          <c:w val="0.92746625129802696"/>
          <c:h val="0.588478478478478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2E9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Traitement!$E$61:$E$65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Traitement!$F$61:$F$65</c:f>
              <c:numCache>
                <c:formatCode>General</c:formatCode>
                <c:ptCount val="5"/>
                <c:pt idx="0">
                  <c:v>71</c:v>
                </c:pt>
                <c:pt idx="1">
                  <c:v>100</c:v>
                </c:pt>
                <c:pt idx="2">
                  <c:v>187</c:v>
                </c:pt>
                <c:pt idx="3">
                  <c:v>253</c:v>
                </c:pt>
                <c:pt idx="4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94-4212-A89C-BC18A9137CA1}"/>
            </c:ext>
          </c:extLst>
        </c:ser>
        <c:ser>
          <c:idx val="1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94-4212-A89C-BC18A9137C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94-4212-A89C-BC18A9137CA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94-4212-A89C-BC18A9137CA1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C94-4212-A89C-BC18A9137C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Traitement!$E$61:$E$65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Traitement!$G$61:$G$65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253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94-4212-A89C-BC18A9137CA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26"/>
        <c:overlap val="100"/>
        <c:axId val="777333312"/>
        <c:axId val="777336640"/>
      </c:barChart>
      <c:catAx>
        <c:axId val="777333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777336640"/>
        <c:crosses val="autoZero"/>
        <c:auto val="1"/>
        <c:lblAlgn val="ctr"/>
        <c:lblOffset val="100"/>
        <c:noMultiLvlLbl val="0"/>
      </c:catAx>
      <c:valAx>
        <c:axId val="7773366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7733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(Récupéré).xlsm]Traitement!ValeursEntreesMois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gradFill>
            <a:gsLst>
              <a:gs pos="0">
                <a:schemeClr val="accent1">
                  <a:lumMod val="40000"/>
                  <a:lumOff val="60000"/>
                </a:schemeClr>
              </a:gs>
              <a:gs pos="72000">
                <a:schemeClr val="bg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4"/>
        <c:spPr>
          <a:gradFill>
            <a:gsLst>
              <a:gs pos="0">
                <a:schemeClr val="accent1">
                  <a:lumMod val="40000"/>
                  <a:lumOff val="60000"/>
                </a:schemeClr>
              </a:gs>
              <a:gs pos="72000">
                <a:schemeClr val="bg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gradFill>
            <a:gsLst>
              <a:gs pos="0">
                <a:schemeClr val="accent1">
                  <a:lumMod val="40000"/>
                  <a:lumOff val="60000"/>
                </a:schemeClr>
              </a:gs>
              <a:gs pos="72000">
                <a:schemeClr val="bg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</c:pivotFmt>
      <c:pivotFmt>
        <c:idx val="7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"/>
        <c:spPr>
          <a:gradFill>
            <a:gsLst>
              <a:gs pos="0">
                <a:schemeClr val="accent1">
                  <a:lumMod val="40000"/>
                  <a:lumOff val="60000"/>
                </a:schemeClr>
              </a:gs>
              <a:gs pos="72000">
                <a:schemeClr val="bg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9"/>
        <c:spPr>
          <a:gradFill>
            <a:gsLst>
              <a:gs pos="0">
                <a:schemeClr val="accent1">
                  <a:lumMod val="40000"/>
                  <a:lumOff val="60000"/>
                </a:schemeClr>
              </a:gs>
              <a:gs pos="72000">
                <a:schemeClr val="bg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10"/>
        <c:spPr>
          <a:gradFill>
            <a:gsLst>
              <a:gs pos="0">
                <a:schemeClr val="accent1">
                  <a:lumMod val="40000"/>
                  <a:lumOff val="60000"/>
                </a:schemeClr>
              </a:gs>
              <a:gs pos="72000">
                <a:schemeClr val="bg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11"/>
        <c:spPr>
          <a:gradFill>
            <a:gsLst>
              <a:gs pos="0">
                <a:schemeClr val="accent1">
                  <a:lumMod val="40000"/>
                  <a:lumOff val="60000"/>
                </a:schemeClr>
              </a:gs>
              <a:gs pos="72000">
                <a:schemeClr val="bg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12"/>
        <c:spPr>
          <a:gradFill>
            <a:gsLst>
              <a:gs pos="0">
                <a:schemeClr val="accent1">
                  <a:lumMod val="40000"/>
                  <a:lumOff val="60000"/>
                </a:schemeClr>
              </a:gs>
              <a:gs pos="72000">
                <a:schemeClr val="bg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13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5.9345794392523361E-2"/>
              <c:y val="-0.1350725725725725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4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4.9454828660436198E-2"/>
              <c:y val="-0.12712712712712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3.6266874350986501E-2"/>
              <c:y val="-0.1589089089089089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6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6375908618899394E-2"/>
              <c:y val="-0.103290790790790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3.6266874350986501E-2"/>
          <c:y val="3.9727227227227227E-2"/>
          <c:w val="0.92746625129802696"/>
          <c:h val="0.75533283283283281"/>
        </c:manualLayout>
      </c:layout>
      <c:areaChart>
        <c:grouping val="standard"/>
        <c:varyColors val="0"/>
        <c:ser>
          <c:idx val="0"/>
          <c:order val="0"/>
          <c:tx>
            <c:strRef>
              <c:f>Traitement!$B$68</c:f>
              <c:strCache>
                <c:ptCount val="1"/>
                <c:pt idx="0">
                  <c:v>Somme de Total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40000"/>
                    <a:lumOff val="60000"/>
                  </a:schemeClr>
                </a:gs>
                <a:gs pos="72000">
                  <a:schemeClr val="bg1">
                    <a:alpha val="50000"/>
                    <a:lumMod val="25000"/>
                    <a:lumOff val="75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dLbls>
            <c:delete val="1"/>
          </c:dLbls>
          <c:cat>
            <c:strRef>
              <c:f>Traitement!$A$69:$A$74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Traitement!$B$69:$B$74</c:f>
              <c:numCache>
                <c:formatCode>_-* #,##0.00\ [$€-40C]_-;\-* #,##0.00\ [$€-40C]_-;_-* "-"??\ [$€-40C]_-;_-@_-</c:formatCode>
                <c:ptCount val="5"/>
                <c:pt idx="0">
                  <c:v>51548</c:v>
                </c:pt>
                <c:pt idx="1">
                  <c:v>76664.399999999994</c:v>
                </c:pt>
                <c:pt idx="2">
                  <c:v>38248</c:v>
                </c:pt>
                <c:pt idx="3">
                  <c:v>48081.15</c:v>
                </c:pt>
                <c:pt idx="4">
                  <c:v>76887.399999999994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D0-44ED-A48C-52B89667B74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2011611744"/>
        <c:axId val="2011628800"/>
      </c:areaChart>
      <c:lineChart>
        <c:grouping val="standard"/>
        <c:varyColors val="0"/>
        <c:ser>
          <c:idx val="1"/>
          <c:order val="1"/>
          <c:tx>
            <c:strRef>
              <c:f>Traitement!$C$68</c:f>
              <c:strCache>
                <c:ptCount val="1"/>
                <c:pt idx="0">
                  <c:v>Somme de Total2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61D0-44ED-A48C-52B89667B74D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8-61D0-44ED-A48C-52B89667B74D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9-61D0-44ED-A48C-52B89667B74D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61D0-44ED-A48C-52B89667B74D}"/>
              </c:ext>
            </c:extLst>
          </c:dPt>
          <c:dLbls>
            <c:dLbl>
              <c:idx val="0"/>
              <c:layout>
                <c:manualLayout>
                  <c:x val="-5.9345794392523361E-2"/>
                  <c:y val="-0.1350725725725725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61D0-44ED-A48C-52B89667B74D}"/>
                </c:ext>
              </c:extLst>
            </c:dLbl>
            <c:dLbl>
              <c:idx val="2"/>
              <c:layout>
                <c:manualLayout>
                  <c:x val="-4.9454828660436198E-2"/>
                  <c:y val="-0.1271271271271271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8-61D0-44ED-A48C-52B89667B74D}"/>
                </c:ext>
              </c:extLst>
            </c:dLbl>
            <c:dLbl>
              <c:idx val="3"/>
              <c:layout>
                <c:manualLayout>
                  <c:x val="-3.6266874350986501E-2"/>
                  <c:y val="-0.1589089089089089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9-61D0-44ED-A48C-52B89667B74D}"/>
                </c:ext>
              </c:extLst>
            </c:dLbl>
            <c:dLbl>
              <c:idx val="4"/>
              <c:layout>
                <c:manualLayout>
                  <c:x val="-2.6375908618899394E-2"/>
                  <c:y val="-0.1032907907907907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A-61D0-44ED-A48C-52B89667B7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Traitement!$A$69:$A$74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Traitement!$C$69:$C$74</c:f>
              <c:numCache>
                <c:formatCode>_-* #,##0.00\ [$€-40C]_-;\-* #,##0.00\ [$€-40C]_-;_-* "-"??\ [$€-40C]_-;_-@_-</c:formatCode>
                <c:ptCount val="5"/>
                <c:pt idx="0">
                  <c:v>51548</c:v>
                </c:pt>
                <c:pt idx="1">
                  <c:v>76664.399999999994</c:v>
                </c:pt>
                <c:pt idx="2">
                  <c:v>38248</c:v>
                </c:pt>
                <c:pt idx="3">
                  <c:v>48081.15</c:v>
                </c:pt>
                <c:pt idx="4">
                  <c:v>76887.399999999994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1D0-44ED-A48C-52B89667B74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11611744"/>
        <c:axId val="2011628800"/>
      </c:lineChart>
      <c:catAx>
        <c:axId val="2011611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2011628800"/>
        <c:crosses val="autoZero"/>
        <c:auto val="1"/>
        <c:lblAlgn val="ctr"/>
        <c:lblOffset val="100"/>
        <c:noMultiLvlLbl val="0"/>
      </c:catAx>
      <c:valAx>
        <c:axId val="2011628800"/>
        <c:scaling>
          <c:orientation val="minMax"/>
        </c:scaling>
        <c:delete val="1"/>
        <c:axPos val="l"/>
        <c:numFmt formatCode="_-* #,##0.00\ [$€-40C]_-;\-* #,##0.00\ [$€-40C]_-;_-* &quot;-&quot;??\ [$€-40C]_-;_-@_-" sourceLinked="1"/>
        <c:majorTickMark val="none"/>
        <c:minorTickMark val="none"/>
        <c:tickLblPos val="nextTo"/>
        <c:crossAx val="201161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(Récupéré).xlsm]Traitement!ValeurEntreesMois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gradFill>
            <a:gsLst>
              <a:gs pos="2000">
                <a:srgbClr val="F2E9FF"/>
              </a:gs>
              <a:gs pos="75000">
                <a:schemeClr val="bg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4"/>
        <c:spPr>
          <a:gradFill>
            <a:gsLst>
              <a:gs pos="2000">
                <a:srgbClr val="F2E9FF"/>
              </a:gs>
              <a:gs pos="75000">
                <a:schemeClr val="bg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gradFill>
            <a:gsLst>
              <a:gs pos="2000">
                <a:srgbClr val="F2E9FF"/>
              </a:gs>
              <a:gs pos="75000">
                <a:schemeClr val="bg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gradFill>
            <a:gsLst>
              <a:gs pos="2000">
                <a:srgbClr val="F2E9FF"/>
              </a:gs>
              <a:gs pos="75000">
                <a:schemeClr val="bg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  <c:dLbl>
          <c:idx val="0"/>
          <c:layout>
            <c:manualLayout>
              <c:x val="-9.8909657320872275E-3"/>
              <c:y val="-0.2860360360360360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"/>
        <c:spPr>
          <a:gradFill>
            <a:gsLst>
              <a:gs pos="2000">
                <a:srgbClr val="F2E9FF"/>
              </a:gs>
              <a:gs pos="75000">
                <a:schemeClr val="bg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  <c:dLbl>
          <c:idx val="0"/>
          <c:layout>
            <c:manualLayout>
              <c:x val="-1.9781931464174424E-2"/>
              <c:y val="-0.3178178178178178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"/>
        <c:spPr>
          <a:gradFill>
            <a:gsLst>
              <a:gs pos="2000">
                <a:srgbClr val="F2E9FF"/>
              </a:gs>
              <a:gs pos="75000">
                <a:schemeClr val="bg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  <c:dLbl>
          <c:idx val="0"/>
          <c:layout>
            <c:manualLayout>
              <c:x val="-1.9781931464174455E-2"/>
              <c:y val="-0.3257632632632633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1"/>
        <c:spPr>
          <a:gradFill>
            <a:gsLst>
              <a:gs pos="2000">
                <a:srgbClr val="F2E9FF"/>
              </a:gs>
              <a:gs pos="75000">
                <a:schemeClr val="bg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  <c:dLbl>
          <c:idx val="0"/>
          <c:layout>
            <c:manualLayout>
              <c:x val="0"/>
              <c:y val="-0.357545045045045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2"/>
        <c:spPr>
          <a:gradFill>
            <a:gsLst>
              <a:gs pos="2000">
                <a:srgbClr val="F2E9FF"/>
              </a:gs>
              <a:gs pos="75000">
                <a:schemeClr val="bg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  <c:dLbl>
          <c:idx val="0"/>
          <c:layout>
            <c:manualLayout>
              <c:x val="-3.29698857736253E-3"/>
              <c:y val="-0.3098723723723724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3.6266874350986501E-2"/>
          <c:y val="0.23041791791791791"/>
          <c:w val="0.92746625129802696"/>
          <c:h val="0.56464214214214214"/>
        </c:manualLayout>
      </c:layout>
      <c:areaChart>
        <c:grouping val="standard"/>
        <c:varyColors val="0"/>
        <c:ser>
          <c:idx val="0"/>
          <c:order val="0"/>
          <c:tx>
            <c:strRef>
              <c:f>Traitement!$C$76</c:f>
              <c:strCache>
                <c:ptCount val="1"/>
                <c:pt idx="0">
                  <c:v>Somme de Total</c:v>
                </c:pt>
              </c:strCache>
            </c:strRef>
          </c:tx>
          <c:spPr>
            <a:gradFill>
              <a:gsLst>
                <a:gs pos="2000">
                  <a:srgbClr val="F2E9FF"/>
                </a:gs>
                <a:gs pos="75000">
                  <a:schemeClr val="bg1">
                    <a:alpha val="50000"/>
                    <a:lumMod val="25000"/>
                    <a:lumOff val="75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2-E039-4D69-8D57-0D018CF6AC0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E039-4D69-8D57-0D018CF6AC06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4-E039-4D69-8D57-0D018CF6AC06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5-E039-4D69-8D57-0D018CF6AC06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6-E039-4D69-8D57-0D018CF6AC06}"/>
              </c:ext>
            </c:extLst>
          </c:dPt>
          <c:dLbls>
            <c:dLbl>
              <c:idx val="0"/>
              <c:layout>
                <c:manualLayout>
                  <c:x val="-9.8909657320872275E-3"/>
                  <c:y val="-0.2860360360360360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E039-4D69-8D57-0D018CF6AC06}"/>
                </c:ext>
              </c:extLst>
            </c:dLbl>
            <c:dLbl>
              <c:idx val="1"/>
              <c:layout>
                <c:manualLayout>
                  <c:x val="-1.9781931464174424E-2"/>
                  <c:y val="-0.3178178178178178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E039-4D69-8D57-0D018CF6AC06}"/>
                </c:ext>
              </c:extLst>
            </c:dLbl>
            <c:dLbl>
              <c:idx val="2"/>
              <c:layout>
                <c:manualLayout>
                  <c:x val="-1.9781931464174455E-2"/>
                  <c:y val="-0.3257632632632633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E039-4D69-8D57-0D018CF6AC06}"/>
                </c:ext>
              </c:extLst>
            </c:dLbl>
            <c:dLbl>
              <c:idx val="3"/>
              <c:layout>
                <c:manualLayout>
                  <c:x val="0"/>
                  <c:y val="-0.3575450450450450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E039-4D69-8D57-0D018CF6AC06}"/>
                </c:ext>
              </c:extLst>
            </c:dLbl>
            <c:dLbl>
              <c:idx val="4"/>
              <c:layout>
                <c:manualLayout>
                  <c:x val="-3.29698857736253E-3"/>
                  <c:y val="-0.3098723723723724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E039-4D69-8D57-0D018CF6AC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Traitement!$B$77:$B$82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Traitement!$C$77:$C$82</c:f>
              <c:numCache>
                <c:formatCode>_-* #,##0.00\ [$€-40C]_-;\-* #,##0.00\ [$€-40C]_-;_-* "-"??\ [$€-40C]_-;_-@_-</c:formatCode>
                <c:ptCount val="5"/>
                <c:pt idx="0">
                  <c:v>38385.299999999996</c:v>
                </c:pt>
                <c:pt idx="1">
                  <c:v>60319.5</c:v>
                </c:pt>
                <c:pt idx="2">
                  <c:v>69065</c:v>
                </c:pt>
                <c:pt idx="3">
                  <c:v>74985</c:v>
                </c:pt>
                <c:pt idx="4">
                  <c:v>55176.2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39-4D69-8D57-0D018CF6A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1610496"/>
        <c:axId val="2011612576"/>
      </c:areaChart>
      <c:lineChart>
        <c:grouping val="standard"/>
        <c:varyColors val="0"/>
        <c:ser>
          <c:idx val="1"/>
          <c:order val="1"/>
          <c:tx>
            <c:strRef>
              <c:f>Traitement!$D$76</c:f>
              <c:strCache>
                <c:ptCount val="1"/>
                <c:pt idx="0">
                  <c:v>Somme de Total2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Traitement!$B$77:$B$82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Traitement!$D$77:$D$82</c:f>
              <c:numCache>
                <c:formatCode>_-* #,##0.00\ [$€-40C]_-;\-* #,##0.00\ [$€-40C]_-;_-* "-"??\ [$€-40C]_-;_-@_-</c:formatCode>
                <c:ptCount val="5"/>
                <c:pt idx="0">
                  <c:v>38385.299999999996</c:v>
                </c:pt>
                <c:pt idx="1">
                  <c:v>60319.5</c:v>
                </c:pt>
                <c:pt idx="2">
                  <c:v>69065</c:v>
                </c:pt>
                <c:pt idx="3">
                  <c:v>74985</c:v>
                </c:pt>
                <c:pt idx="4">
                  <c:v>55176.2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039-4D69-8D57-0D018CF6A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1610496"/>
        <c:axId val="2011612576"/>
      </c:lineChart>
      <c:catAx>
        <c:axId val="2011610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fr-FR"/>
          </a:p>
        </c:txPr>
        <c:crossAx val="2011612576"/>
        <c:crosses val="autoZero"/>
        <c:auto val="1"/>
        <c:lblAlgn val="ctr"/>
        <c:lblOffset val="100"/>
        <c:noMultiLvlLbl val="0"/>
      </c:catAx>
      <c:valAx>
        <c:axId val="2011612576"/>
        <c:scaling>
          <c:orientation val="minMax"/>
        </c:scaling>
        <c:delete val="1"/>
        <c:axPos val="l"/>
        <c:numFmt formatCode="_-* #,##0.00\ [$€-40C]_-;\-* #,##0.00\ [$€-40C]_-;_-* &quot;-&quot;??\ [$€-40C]_-;_-@_-" sourceLinked="1"/>
        <c:majorTickMark val="none"/>
        <c:minorTickMark val="none"/>
        <c:tickLblPos val="nextTo"/>
        <c:crossAx val="201161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(Récupéré).xlsm]Traitement!Top3Marchandises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Traitement!$D$84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Traitement!$C$85:$C$88</c:f>
              <c:strCache>
                <c:ptCount val="3"/>
                <c:pt idx="0">
                  <c:v>Cuisinière CANDY</c:v>
                </c:pt>
                <c:pt idx="1">
                  <c:v>GOOGLE PIXEL 5</c:v>
                </c:pt>
                <c:pt idx="2">
                  <c:v>IPHONE 13 PRO</c:v>
                </c:pt>
              </c:strCache>
            </c:strRef>
          </c:cat>
          <c:val>
            <c:numRef>
              <c:f>Traitement!$D$85:$D$88</c:f>
              <c:numCache>
                <c:formatCode>_-* #,##0\ [$€-40C]_-;\-* #,##0\ [$€-40C]_-;_-* "-"??\ [$€-40C]_-;_-@_-</c:formatCode>
                <c:ptCount val="3"/>
                <c:pt idx="0">
                  <c:v>35400</c:v>
                </c:pt>
                <c:pt idx="1">
                  <c:v>42010</c:v>
                </c:pt>
                <c:pt idx="2">
                  <c:v>129500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88-4C4F-85EF-6A825B408CB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59034768"/>
        <c:axId val="559038928"/>
      </c:barChart>
      <c:catAx>
        <c:axId val="5590347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51459E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559038928"/>
        <c:crosses val="autoZero"/>
        <c:auto val="1"/>
        <c:lblAlgn val="ctr"/>
        <c:lblOffset val="100"/>
        <c:noMultiLvlLbl val="0"/>
      </c:catAx>
      <c:valAx>
        <c:axId val="559038928"/>
        <c:scaling>
          <c:orientation val="minMax"/>
        </c:scaling>
        <c:delete val="1"/>
        <c:axPos val="b"/>
        <c:numFmt formatCode="_-* #,##0\ [$€-40C]_-;\-* #,##0\ [$€-40C]_-;_-* &quot;-&quot;??\ [$€-40C]_-;_-@_-" sourceLinked="1"/>
        <c:majorTickMark val="none"/>
        <c:minorTickMark val="none"/>
        <c:tickLblPos val="nextTo"/>
        <c:crossAx val="55903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(Récupéré).xlsm]Traitement!StockTotalCategorie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607-477B-8090-F5A18857DDA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607-477B-8090-F5A18857DDA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607-477B-8090-F5A18857DDA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607-477B-8090-F5A18857DDA9}"/>
              </c:ext>
            </c:extLst>
          </c:dPt>
          <c:cat>
            <c:strRef>
              <c:f>Traitement!$A$11:$A$15</c:f>
              <c:strCache>
                <c:ptCount val="4"/>
                <c:pt idx="0">
                  <c:v>Biscuits 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Traitement!$B$11:$B$15</c:f>
              <c:numCache>
                <c:formatCode>General</c:formatCode>
                <c:ptCount val="4"/>
                <c:pt idx="0">
                  <c:v>30</c:v>
                </c:pt>
                <c:pt idx="1">
                  <c:v>9</c:v>
                </c:pt>
                <c:pt idx="2">
                  <c:v>14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A9-4A69-8353-EF7E40D52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(Récupéré).xlsm]Traitement!StockValeurlCategorie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Traitement!$B$17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E69-493A-9AB9-B3853E7A81B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E69-493A-9AB9-B3853E7A81B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E69-493A-9AB9-B3853E7A81B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E69-493A-9AB9-B3853E7A81B4}"/>
              </c:ext>
            </c:extLst>
          </c:dPt>
          <c:cat>
            <c:strRef>
              <c:f>Traitement!$A$18:$A$22</c:f>
              <c:strCache>
                <c:ptCount val="4"/>
                <c:pt idx="0">
                  <c:v>Biscuits 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Traitement!$B$18:$B$22</c:f>
              <c:numCache>
                <c:formatCode>_-* #,##0.00\ [$€-40C]_-;\-* #,##0.00\ [$€-40C]_-;_-* "-"??\ [$€-40C]_-;_-@_-</c:formatCode>
                <c:ptCount val="4"/>
                <c:pt idx="0">
                  <c:v>721.43523809523811</c:v>
                </c:pt>
                <c:pt idx="1">
                  <c:v>10588.6587366694</c:v>
                </c:pt>
                <c:pt idx="2">
                  <c:v>17750</c:v>
                </c:pt>
                <c:pt idx="3">
                  <c:v>25792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00-4C91-BDAC-EAAEF7E6E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(Récupéré).xlsm]Traitement!EntreeTotalCategorie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Traitement!$B$24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E-4E70-8C36-41752145025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E-4E70-8C36-41752145025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E-4E70-8C36-41752145025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E-4E70-8C36-41752145025D}"/>
              </c:ext>
            </c:extLst>
          </c:dPt>
          <c:cat>
            <c:strRef>
              <c:f>Traitement!$A$25:$A$29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Traitement!$B$25:$B$29</c:f>
              <c:numCache>
                <c:formatCode>_-* #,##0.00\ [$€-40C]_-;\-* #,##0.00\ [$€-40C]_-;_-* "-"??\ [$€-40C]_-;_-@_-</c:formatCode>
                <c:ptCount val="4"/>
                <c:pt idx="0">
                  <c:v>1593.9500000000003</c:v>
                </c:pt>
                <c:pt idx="1">
                  <c:v>53925</c:v>
                </c:pt>
                <c:pt idx="2">
                  <c:v>68550</c:v>
                </c:pt>
                <c:pt idx="3">
                  <c:v>167360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5C-47BB-954E-E1E6E209A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1976579850595599E-2"/>
          <c:y val="0.69399811023622049"/>
          <c:w val="0.74280978035640277"/>
          <c:h val="0.13500094488188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(Récupéré).xlsm]Traitement!EntreeValeurCategorie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Traitement!$B$31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16E-4F64-967B-AB126D396A1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16E-4F64-967B-AB126D396A1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16E-4F64-967B-AB126D396A1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16E-4F64-967B-AB126D396A1D}"/>
              </c:ext>
            </c:extLst>
          </c:dPt>
          <c:cat>
            <c:strRef>
              <c:f>Traitement!$A$32:$A$36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Traitement!$B$32:$B$36</c:f>
              <c:numCache>
                <c:formatCode>General</c:formatCode>
                <c:ptCount val="4"/>
                <c:pt idx="0">
                  <c:v>562</c:v>
                </c:pt>
                <c:pt idx="1">
                  <c:v>90</c:v>
                </c:pt>
                <c:pt idx="2">
                  <c:v>189</c:v>
                </c:pt>
                <c:pt idx="3">
                  <c:v>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95C-4E79-87D1-7F19B7147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(Récupéré).xlsm]Traitement!SortieTotalCategorie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Traitement!$B$38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D47-489E-AFD2-26CCBAA4667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D47-489E-AFD2-26CCBAA4667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D47-489E-AFD2-26CCBAA4667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D47-489E-AFD2-26CCBAA46674}"/>
              </c:ext>
            </c:extLst>
          </c:dPt>
          <c:cat>
            <c:strRef>
              <c:f>Traitement!$A$39:$A$43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Traitement!$B$39:$B$43</c:f>
              <c:numCache>
                <c:formatCode>_-* #,##0\ [$€-40C]_-;\-* #,##0\ [$€-40C]_-;_-* "-"??\ [$€-40C]_-;_-@_-</c:formatCode>
                <c:ptCount val="4"/>
                <c:pt idx="0">
                  <c:v>1141</c:v>
                </c:pt>
                <c:pt idx="1">
                  <c:v>57320</c:v>
                </c:pt>
                <c:pt idx="2">
                  <c:v>67960</c:v>
                </c:pt>
                <c:pt idx="3">
                  <c:v>171510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085-4141-992C-C0D592319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(Récupéré).xlsm]Traitement!SortieValeurCategorie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Traitement!$B$45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247-45C7-AA3F-2053AE3BBDF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247-45C7-AA3F-2053AE3BBDF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247-45C7-AA3F-2053AE3BBDF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247-45C7-AA3F-2053AE3BBDF6}"/>
              </c:ext>
            </c:extLst>
          </c:dPt>
          <c:cat>
            <c:strRef>
              <c:f>Traitement!$A$46:$A$50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Traitement!$B$46:$B$50</c:f>
              <c:numCache>
                <c:formatCode>General</c:formatCode>
                <c:ptCount val="4"/>
                <c:pt idx="0">
                  <c:v>338</c:v>
                </c:pt>
                <c:pt idx="1">
                  <c:v>84</c:v>
                </c:pt>
                <c:pt idx="2">
                  <c:v>133</c:v>
                </c:pt>
                <c:pt idx="3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28-4A19-83E1-430B2F6002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Traitement!$E$53:$E$57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Traitement!$F$53:$F$57</c:f>
              <c:numCache>
                <c:formatCode>General</c:formatCode>
                <c:ptCount val="5"/>
                <c:pt idx="0">
                  <c:v>137</c:v>
                </c:pt>
                <c:pt idx="1">
                  <c:v>184</c:v>
                </c:pt>
                <c:pt idx="2">
                  <c:v>142</c:v>
                </c:pt>
                <c:pt idx="3">
                  <c:v>106</c:v>
                </c:pt>
                <c:pt idx="4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34-448C-B3B3-D56177FBDB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Traitement!$E$53:$E$57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Traitement!$G$53:$G$57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34-448C-B3B3-D56177FBD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6"/>
        <c:overlap val="100"/>
        <c:axId val="1287500064"/>
        <c:axId val="1287510048"/>
      </c:barChart>
      <c:catAx>
        <c:axId val="1287500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87510048"/>
        <c:crosses val="autoZero"/>
        <c:auto val="1"/>
        <c:lblAlgn val="ctr"/>
        <c:lblOffset val="100"/>
        <c:noMultiLvlLbl val="0"/>
      </c:catAx>
      <c:valAx>
        <c:axId val="12875100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8750006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Traitement!$E$61:$E$65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Traitement!$F$61:$F$65</c:f>
              <c:numCache>
                <c:formatCode>General</c:formatCode>
                <c:ptCount val="5"/>
                <c:pt idx="0">
                  <c:v>71</c:v>
                </c:pt>
                <c:pt idx="1">
                  <c:v>100</c:v>
                </c:pt>
                <c:pt idx="2">
                  <c:v>187</c:v>
                </c:pt>
                <c:pt idx="3">
                  <c:v>253</c:v>
                </c:pt>
                <c:pt idx="4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84-4714-BF90-7300457D591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Traitement!$E$61:$E$65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Traitement!$G$61:$G$65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253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84-4714-BF90-7300457D5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6"/>
        <c:overlap val="100"/>
        <c:axId val="777333312"/>
        <c:axId val="777336640"/>
      </c:barChart>
      <c:catAx>
        <c:axId val="777333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7336640"/>
        <c:crosses val="autoZero"/>
        <c:auto val="1"/>
        <c:lblAlgn val="ctr"/>
        <c:lblOffset val="100"/>
        <c:noMultiLvlLbl val="0"/>
      </c:catAx>
      <c:valAx>
        <c:axId val="7773366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7733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(Récupéré).xlsm]Traitement!ValeursEntreesMois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</c:pivotFmt>
      <c:pivotFmt>
        <c:idx val="3"/>
        <c:spPr>
          <a:gradFill>
            <a:gsLst>
              <a:gs pos="0">
                <a:schemeClr val="accent1">
                  <a:lumMod val="40000"/>
                  <a:lumOff val="60000"/>
                </a:schemeClr>
              </a:gs>
              <a:gs pos="72000">
                <a:schemeClr val="bg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Traitement!$B$68</c:f>
              <c:strCache>
                <c:ptCount val="1"/>
                <c:pt idx="0">
                  <c:v>Somme de Total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40000"/>
                    <a:lumOff val="60000"/>
                  </a:schemeClr>
                </a:gs>
                <a:gs pos="72000">
                  <a:schemeClr val="bg1">
                    <a:alpha val="50000"/>
                    <a:lumMod val="25000"/>
                    <a:lumOff val="75000"/>
                  </a:schemeClr>
                </a:gs>
              </a:gsLst>
              <a:lin ang="5400000" scaled="1"/>
            </a:gradFill>
            <a:ln w="25400">
              <a:noFill/>
            </a:ln>
            <a:effectLst/>
          </c:spPr>
          <c:cat>
            <c:strRef>
              <c:f>Traitement!$A$69:$A$74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Traitement!$B$69:$B$74</c:f>
              <c:numCache>
                <c:formatCode>_-* #,##0.00\ [$€-40C]_-;\-* #,##0.00\ [$€-40C]_-;_-* "-"??\ [$€-40C]_-;_-@_-</c:formatCode>
                <c:ptCount val="5"/>
                <c:pt idx="0">
                  <c:v>51548</c:v>
                </c:pt>
                <c:pt idx="1">
                  <c:v>76664.399999999994</c:v>
                </c:pt>
                <c:pt idx="2">
                  <c:v>38248</c:v>
                </c:pt>
                <c:pt idx="3">
                  <c:v>48081.15</c:v>
                </c:pt>
                <c:pt idx="4">
                  <c:v>76887.399999999994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555-4B41-8BC2-30F60AF297A0}"/>
            </c:ext>
          </c:extLst>
        </c:ser>
        <c:ser>
          <c:idx val="1"/>
          <c:order val="1"/>
          <c:tx>
            <c:strRef>
              <c:f>Traitement!$C$68</c:f>
              <c:strCache>
                <c:ptCount val="1"/>
                <c:pt idx="0">
                  <c:v>Somme de Total2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strRef>
              <c:f>Traitement!$A$69:$A$74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Traitement!$C$69:$C$74</c:f>
              <c:numCache>
                <c:formatCode>_-* #,##0.00\ [$€-40C]_-;\-* #,##0.00\ [$€-40C]_-;_-* "-"??\ [$€-40C]_-;_-@_-</c:formatCode>
                <c:ptCount val="5"/>
                <c:pt idx="0">
                  <c:v>51548</c:v>
                </c:pt>
                <c:pt idx="1">
                  <c:v>76664.399999999994</c:v>
                </c:pt>
                <c:pt idx="2">
                  <c:v>38248</c:v>
                </c:pt>
                <c:pt idx="3">
                  <c:v>48081.15</c:v>
                </c:pt>
                <c:pt idx="4">
                  <c:v>76887.399999999994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555-4B41-8BC2-30F60AF297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1611744"/>
        <c:axId val="2011628800"/>
      </c:areaChart>
      <c:catAx>
        <c:axId val="2011611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1628800"/>
        <c:crosses val="autoZero"/>
        <c:auto val="1"/>
        <c:lblAlgn val="ctr"/>
        <c:lblOffset val="100"/>
        <c:noMultiLvlLbl val="0"/>
      </c:catAx>
      <c:valAx>
        <c:axId val="2011628800"/>
        <c:scaling>
          <c:orientation val="minMax"/>
        </c:scaling>
        <c:delete val="1"/>
        <c:axPos val="l"/>
        <c:numFmt formatCode="_-* #,##0.00\ [$€-40C]_-;\-* #,##0.00\ [$€-40C]_-;_-* &quot;-&quot;??\ [$€-40C]_-;_-@_-" sourceLinked="1"/>
        <c:majorTickMark val="none"/>
        <c:minorTickMark val="none"/>
        <c:tickLblPos val="nextTo"/>
        <c:crossAx val="201161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(Récupéré).xlsm]Traitement!ValeurEntreesMois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</c:pivotFmt>
      <c:pivotFmt>
        <c:idx val="3"/>
        <c:spPr>
          <a:gradFill>
            <a:gsLst>
              <a:gs pos="2000">
                <a:srgbClr val="F2E9FF"/>
              </a:gs>
              <a:gs pos="75000">
                <a:schemeClr val="bg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Traitement!$C$76</c:f>
              <c:strCache>
                <c:ptCount val="1"/>
                <c:pt idx="0">
                  <c:v>Somme de Total</c:v>
                </c:pt>
              </c:strCache>
            </c:strRef>
          </c:tx>
          <c:spPr>
            <a:gradFill>
              <a:gsLst>
                <a:gs pos="2000">
                  <a:srgbClr val="F2E9FF"/>
                </a:gs>
                <a:gs pos="75000">
                  <a:schemeClr val="bg1">
                    <a:alpha val="50000"/>
                    <a:lumMod val="25000"/>
                    <a:lumOff val="75000"/>
                  </a:schemeClr>
                </a:gs>
              </a:gsLst>
              <a:lin ang="5400000" scaled="1"/>
            </a:gradFill>
            <a:ln w="25400">
              <a:noFill/>
            </a:ln>
            <a:effectLst/>
          </c:spPr>
          <c:cat>
            <c:strRef>
              <c:f>Traitement!$B$77:$B$82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Traitement!$C$77:$C$82</c:f>
              <c:numCache>
                <c:formatCode>_-* #,##0.00\ [$€-40C]_-;\-* #,##0.00\ [$€-40C]_-;_-* "-"??\ [$€-40C]_-;_-@_-</c:formatCode>
                <c:ptCount val="5"/>
                <c:pt idx="0">
                  <c:v>38385.299999999996</c:v>
                </c:pt>
                <c:pt idx="1">
                  <c:v>60319.5</c:v>
                </c:pt>
                <c:pt idx="2">
                  <c:v>69065</c:v>
                </c:pt>
                <c:pt idx="3">
                  <c:v>74985</c:v>
                </c:pt>
                <c:pt idx="4">
                  <c:v>55176.2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45D-4D81-AB16-CF09513A436A}"/>
            </c:ext>
          </c:extLst>
        </c:ser>
        <c:ser>
          <c:idx val="1"/>
          <c:order val="1"/>
          <c:tx>
            <c:strRef>
              <c:f>Traitement!$D$76</c:f>
              <c:strCache>
                <c:ptCount val="1"/>
                <c:pt idx="0">
                  <c:v>Somme de Total2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strRef>
              <c:f>Traitement!$B$77:$B$82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Traitement!$D$77:$D$82</c:f>
              <c:numCache>
                <c:formatCode>_-* #,##0.00\ [$€-40C]_-;\-* #,##0.00\ [$€-40C]_-;_-* "-"??\ [$€-40C]_-;_-@_-</c:formatCode>
                <c:ptCount val="5"/>
                <c:pt idx="0">
                  <c:v>38385.299999999996</c:v>
                </c:pt>
                <c:pt idx="1">
                  <c:v>60319.5</c:v>
                </c:pt>
                <c:pt idx="2">
                  <c:v>69065</c:v>
                </c:pt>
                <c:pt idx="3">
                  <c:v>74985</c:v>
                </c:pt>
                <c:pt idx="4">
                  <c:v>55176.2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45D-4D81-AB16-CF09513A4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1610496"/>
        <c:axId val="2011612576"/>
      </c:areaChart>
      <c:catAx>
        <c:axId val="2011610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1612576"/>
        <c:crosses val="autoZero"/>
        <c:auto val="1"/>
        <c:lblAlgn val="ctr"/>
        <c:lblOffset val="100"/>
        <c:noMultiLvlLbl val="0"/>
      </c:catAx>
      <c:valAx>
        <c:axId val="2011612576"/>
        <c:scaling>
          <c:orientation val="minMax"/>
        </c:scaling>
        <c:delete val="1"/>
        <c:axPos val="l"/>
        <c:numFmt formatCode="_-* #,##0.00\ [$€-40C]_-;\-* #,##0.00\ [$€-40C]_-;_-* &quot;-&quot;??\ [$€-40C]_-;_-@_-" sourceLinked="1"/>
        <c:majorTickMark val="none"/>
        <c:minorTickMark val="none"/>
        <c:tickLblPos val="nextTo"/>
        <c:crossAx val="201161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(Récupéré).xlsm]Traitement!Top3Marchandises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Traitement!$D$84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Traitement!$C$85:$C$88</c:f>
              <c:strCache>
                <c:ptCount val="3"/>
                <c:pt idx="0">
                  <c:v>Cuisinière CANDY</c:v>
                </c:pt>
                <c:pt idx="1">
                  <c:v>GOOGLE PIXEL 5</c:v>
                </c:pt>
                <c:pt idx="2">
                  <c:v>IPHONE 13 PRO</c:v>
                </c:pt>
              </c:strCache>
            </c:strRef>
          </c:cat>
          <c:val>
            <c:numRef>
              <c:f>Traitement!$D$85:$D$88</c:f>
              <c:numCache>
                <c:formatCode>_-* #,##0\ [$€-40C]_-;\-* #,##0\ [$€-40C]_-;_-* "-"??\ [$€-40C]_-;_-@_-</c:formatCode>
                <c:ptCount val="3"/>
                <c:pt idx="0">
                  <c:v>35400</c:v>
                </c:pt>
                <c:pt idx="1">
                  <c:v>42010</c:v>
                </c:pt>
                <c:pt idx="2">
                  <c:v>129500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17-4EDD-A045-10E95E56B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59034768"/>
        <c:axId val="559038928"/>
      </c:barChart>
      <c:catAx>
        <c:axId val="5590347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9038928"/>
        <c:crosses val="autoZero"/>
        <c:auto val="1"/>
        <c:lblAlgn val="ctr"/>
        <c:lblOffset val="100"/>
        <c:noMultiLvlLbl val="0"/>
      </c:catAx>
      <c:valAx>
        <c:axId val="55903892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\ [$€-40C]_-;\-* #,##0\ [$€-40C]_-;_-* &quot;-&quot;??\ [$€-40C]_-;_-@_-" sourceLinked="1"/>
        <c:majorTickMark val="none"/>
        <c:minorTickMark val="none"/>
        <c:tickLblPos val="nextTo"/>
        <c:crossAx val="559034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3.xml"/><Relationship Id="rId18" Type="http://schemas.openxmlformats.org/officeDocument/2006/relationships/chart" Target="../charts/chart8.xml"/><Relationship Id="rId3" Type="http://schemas.openxmlformats.org/officeDocument/2006/relationships/image" Target="../media/image3.png"/><Relationship Id="rId21" Type="http://schemas.openxmlformats.org/officeDocument/2006/relationships/chart" Target="../charts/chart11.xml"/><Relationship Id="rId7" Type="http://schemas.openxmlformats.org/officeDocument/2006/relationships/image" Target="../media/image7.png"/><Relationship Id="rId12" Type="http://schemas.openxmlformats.org/officeDocument/2006/relationships/chart" Target="../charts/chart2.xml"/><Relationship Id="rId17" Type="http://schemas.openxmlformats.org/officeDocument/2006/relationships/chart" Target="../charts/chart7.xml"/><Relationship Id="rId2" Type="http://schemas.openxmlformats.org/officeDocument/2006/relationships/image" Target="../media/image2.png"/><Relationship Id="rId16" Type="http://schemas.openxmlformats.org/officeDocument/2006/relationships/chart" Target="../charts/chart6.xml"/><Relationship Id="rId20" Type="http://schemas.openxmlformats.org/officeDocument/2006/relationships/chart" Target="../charts/chart10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1.xml"/><Relationship Id="rId5" Type="http://schemas.openxmlformats.org/officeDocument/2006/relationships/image" Target="../media/image5.png"/><Relationship Id="rId15" Type="http://schemas.openxmlformats.org/officeDocument/2006/relationships/chart" Target="../charts/chart5.xml"/><Relationship Id="rId10" Type="http://schemas.openxmlformats.org/officeDocument/2006/relationships/image" Target="../media/image10.png"/><Relationship Id="rId19" Type="http://schemas.openxmlformats.org/officeDocument/2006/relationships/chart" Target="../charts/chart9.xml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chart" Target="../charts/chart4.xml"/><Relationship Id="rId22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996460</xdr:colOff>
      <xdr:row>17</xdr:row>
      <xdr:rowOff>49703</xdr:rowOff>
    </xdr:from>
    <xdr:to>
      <xdr:col>9</xdr:col>
      <xdr:colOff>35029</xdr:colOff>
      <xdr:row>18</xdr:row>
      <xdr:rowOff>21287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46787035-7718-4DC3-92D6-B888E8F5C905}"/>
            </a:ext>
          </a:extLst>
        </xdr:cNvPr>
        <xdr:cNvSpPr/>
      </xdr:nvSpPr>
      <xdr:spPr>
        <a:xfrm>
          <a:off x="7221414" y="3859703"/>
          <a:ext cx="756000" cy="252938"/>
        </a:xfrm>
        <a:prstGeom prst="roundRect">
          <a:avLst/>
        </a:prstGeom>
        <a:solidFill>
          <a:srgbClr val="51459E"/>
        </a:solidFill>
        <a:ln>
          <a:noFill/>
        </a:ln>
        <a:effectLst>
          <a:glow rad="38100">
            <a:srgbClr val="51459E">
              <a:alpha val="33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 spc="110" baseline="0"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Sortie</a:t>
          </a:r>
        </a:p>
      </xdr:txBody>
    </xdr:sp>
    <xdr:clientData/>
  </xdr:twoCellAnchor>
  <xdr:twoCellAnchor>
    <xdr:from>
      <xdr:col>6</xdr:col>
      <xdr:colOff>18288</xdr:colOff>
      <xdr:row>17</xdr:row>
      <xdr:rowOff>49703</xdr:rowOff>
    </xdr:from>
    <xdr:to>
      <xdr:col>6</xdr:col>
      <xdr:colOff>774288</xdr:colOff>
      <xdr:row>18</xdr:row>
      <xdr:rowOff>21287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559911A0-15C1-4265-B15E-19BED6FCECE2}"/>
            </a:ext>
          </a:extLst>
        </xdr:cNvPr>
        <xdr:cNvSpPr/>
      </xdr:nvSpPr>
      <xdr:spPr>
        <a:xfrm>
          <a:off x="3599688" y="3859703"/>
          <a:ext cx="756000" cy="252938"/>
        </a:xfrm>
        <a:prstGeom prst="roundRect">
          <a:avLst/>
        </a:prstGeom>
        <a:solidFill>
          <a:srgbClr val="FAFAFA"/>
        </a:solidFill>
        <a:ln>
          <a:noFill/>
        </a:ln>
        <a:effectLst>
          <a:glow rad="38100">
            <a:schemeClr val="bg1">
              <a:lumMod val="50000"/>
              <a:alpha val="3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900" b="1" i="0" u="none" strike="noStrike" kern="0" cap="none" spc="11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Annuler</a:t>
          </a:r>
          <a:endParaRPr lang="fr-FR" sz="900" b="1">
            <a:solidFill>
              <a:schemeClr val="tx1"/>
            </a:solidFill>
            <a:latin typeface="Gilroy-Bold" panose="00000800000000000000" pitchFamily="2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8</xdr:col>
      <xdr:colOff>12422</xdr:colOff>
      <xdr:row>17</xdr:row>
      <xdr:rowOff>49703</xdr:rowOff>
    </xdr:from>
    <xdr:to>
      <xdr:col>8</xdr:col>
      <xdr:colOff>768422</xdr:colOff>
      <xdr:row>18</xdr:row>
      <xdr:rowOff>21287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59CF9C97-38A7-4FCD-8781-C57AB63A9E48}"/>
            </a:ext>
          </a:extLst>
        </xdr:cNvPr>
        <xdr:cNvSpPr/>
      </xdr:nvSpPr>
      <xdr:spPr>
        <a:xfrm>
          <a:off x="6237376" y="3859703"/>
          <a:ext cx="756000" cy="252938"/>
        </a:xfrm>
        <a:prstGeom prst="roundRect">
          <a:avLst/>
        </a:prstGeom>
        <a:solidFill>
          <a:srgbClr val="51459E"/>
        </a:solidFill>
        <a:ln>
          <a:noFill/>
        </a:ln>
        <a:effectLst>
          <a:glow rad="38100">
            <a:srgbClr val="51459E">
              <a:alpha val="33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 spc="110" baseline="0"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Entrée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129956</xdr:colOff>
      <xdr:row>1</xdr:row>
      <xdr:rowOff>9174</xdr:rowOff>
    </xdr:from>
    <xdr:to>
      <xdr:col>5</xdr:col>
      <xdr:colOff>446659</xdr:colOff>
      <xdr:row>4</xdr:row>
      <xdr:rowOff>48717</xdr:rowOff>
    </xdr:to>
    <xdr:sp macro="" textlink="Traitement!A2">
      <xdr:nvSpPr>
        <xdr:cNvPr id="2" name="Rectangle à coins arrondis 1"/>
        <xdr:cNvSpPr/>
      </xdr:nvSpPr>
      <xdr:spPr>
        <a:xfrm>
          <a:off x="129956" y="9174"/>
          <a:ext cx="1840703" cy="591993"/>
        </a:xfrm>
        <a:prstGeom prst="roundRect">
          <a:avLst/>
        </a:prstGeom>
        <a:solidFill>
          <a:srgbClr val="3204C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fld id="{7BC5700A-1200-4DB9-8795-480E35643100}" type="TxLink">
            <a:rPr lang="en-US" sz="1200" b="0" i="0" u="none" strike="noStrike">
              <a:solidFill>
                <a:schemeClr val="bg1"/>
              </a:solidFill>
              <a:latin typeface="Arial Black" panose="020B0A04020102020204" pitchFamily="34" charset="0"/>
              <a:ea typeface="Calibri"/>
              <a:cs typeface="Calibri"/>
            </a:rPr>
            <a:pPr algn="l"/>
            <a:t>366</a:t>
          </a:fld>
          <a:endParaRPr lang="en-US" sz="12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5</xdr:col>
      <xdr:colOff>515659</xdr:colOff>
      <xdr:row>1</xdr:row>
      <xdr:rowOff>15524</xdr:rowOff>
    </xdr:from>
    <xdr:to>
      <xdr:col>8</xdr:col>
      <xdr:colOff>72715</xdr:colOff>
      <xdr:row>4</xdr:row>
      <xdr:rowOff>55067</xdr:rowOff>
    </xdr:to>
    <xdr:sp macro="" textlink="Traitement!B2">
      <xdr:nvSpPr>
        <xdr:cNvPr id="3" name="Rectangle à coins arrondis 2"/>
        <xdr:cNvSpPr/>
      </xdr:nvSpPr>
      <xdr:spPr>
        <a:xfrm>
          <a:off x="2039659" y="15524"/>
          <a:ext cx="1843056" cy="591993"/>
        </a:xfrm>
        <a:prstGeom prst="roundRect">
          <a:avLst/>
        </a:prstGeom>
        <a:solidFill>
          <a:srgbClr val="3204C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fld id="{530305E6-B7BD-4A5E-8AD8-E620FAACF7BA}" type="TxLink">
            <a:rPr lang="en-US" sz="1200" b="0" i="0" u="none" strike="noStrike">
              <a:solidFill>
                <a:schemeClr val="bg1"/>
              </a:solidFill>
              <a:latin typeface="Arial Black" panose="020B0A04020102020204" pitchFamily="34" charset="0"/>
              <a:ea typeface="Calibri"/>
              <a:cs typeface="Calibri"/>
            </a:rPr>
            <a:pPr marL="0" indent="0" algn="l"/>
            <a:t> 54 852,09 € </a:t>
          </a:fld>
          <a:endParaRPr lang="fr-FR" sz="1200" b="0" i="0" u="none" strike="noStrike">
            <a:solidFill>
              <a:schemeClr val="bg1"/>
            </a:solidFill>
            <a:latin typeface="Arial Black" panose="020B0A040201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154415</xdr:colOff>
      <xdr:row>1</xdr:row>
      <xdr:rowOff>15524</xdr:rowOff>
    </xdr:from>
    <xdr:to>
      <xdr:col>10</xdr:col>
      <xdr:colOff>471119</xdr:colOff>
      <xdr:row>4</xdr:row>
      <xdr:rowOff>55067</xdr:rowOff>
    </xdr:to>
    <xdr:sp macro="" textlink="Traitement!A5">
      <xdr:nvSpPr>
        <xdr:cNvPr id="4" name="Rectangle à coins arrondis 3"/>
        <xdr:cNvSpPr/>
      </xdr:nvSpPr>
      <xdr:spPr>
        <a:xfrm>
          <a:off x="3964415" y="15524"/>
          <a:ext cx="1840704" cy="591993"/>
        </a:xfrm>
        <a:prstGeom prst="roundRect">
          <a:avLst/>
        </a:prstGeom>
        <a:solidFill>
          <a:srgbClr val="3204C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fld id="{954293F8-CC19-4BA6-BCF7-173AA32747F7}" type="TxLink">
            <a:rPr lang="en-US" sz="1200" b="0" i="0" u="none" strike="noStrike">
              <a:solidFill>
                <a:schemeClr val="bg1"/>
              </a:solidFill>
              <a:latin typeface="Arial Black" panose="020B0A04020102020204" pitchFamily="34" charset="0"/>
              <a:ea typeface="Calibri"/>
              <a:cs typeface="Calibri"/>
            </a:rPr>
            <a:pPr marL="0" indent="0" algn="l"/>
            <a:t>992</a:t>
          </a:fld>
          <a:endParaRPr lang="fr-FR" sz="1200" b="0" i="0" u="none" strike="noStrike">
            <a:solidFill>
              <a:schemeClr val="bg1"/>
            </a:solidFill>
            <a:latin typeface="Arial Black" panose="020B0A040201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560681</xdr:colOff>
      <xdr:row>1</xdr:row>
      <xdr:rowOff>7964</xdr:rowOff>
    </xdr:from>
    <xdr:to>
      <xdr:col>13</xdr:col>
      <xdr:colOff>117736</xdr:colOff>
      <xdr:row>4</xdr:row>
      <xdr:rowOff>47507</xdr:rowOff>
    </xdr:to>
    <xdr:sp macro="" textlink="Traitement!B5">
      <xdr:nvSpPr>
        <xdr:cNvPr id="5" name="Rectangle à coins arrondis 4"/>
        <xdr:cNvSpPr/>
      </xdr:nvSpPr>
      <xdr:spPr>
        <a:xfrm>
          <a:off x="5894681" y="7964"/>
          <a:ext cx="1843055" cy="591993"/>
        </a:xfrm>
        <a:prstGeom prst="roundRect">
          <a:avLst/>
        </a:prstGeom>
        <a:solidFill>
          <a:srgbClr val="3204C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fld id="{E5DA6517-B1C6-4A43-81FF-819B36D97A45}" type="TxLink">
            <a:rPr lang="en-US" sz="1200" b="0" i="0" u="none" strike="noStrike">
              <a:solidFill>
                <a:schemeClr val="bg1"/>
              </a:solidFill>
              <a:latin typeface="Arial Black" panose="020B0A04020102020204" pitchFamily="34" charset="0"/>
              <a:ea typeface="Calibri"/>
              <a:cs typeface="Calibri"/>
            </a:rPr>
            <a:pPr marL="0" indent="0" algn="l"/>
            <a:t> 291 428,95 € </a:t>
          </a:fld>
          <a:endParaRPr lang="fr-FR" sz="1200" b="0" i="0" u="none" strike="noStrike">
            <a:solidFill>
              <a:schemeClr val="bg1"/>
            </a:solidFill>
            <a:latin typeface="Arial Black" panose="020B0A040201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13</xdr:col>
      <xdr:colOff>197319</xdr:colOff>
      <xdr:row>1</xdr:row>
      <xdr:rowOff>25872</xdr:rowOff>
    </xdr:from>
    <xdr:to>
      <xdr:col>15</xdr:col>
      <xdr:colOff>514023</xdr:colOff>
      <xdr:row>4</xdr:row>
      <xdr:rowOff>61417</xdr:rowOff>
    </xdr:to>
    <xdr:sp macro="" textlink="Traitement!A8">
      <xdr:nvSpPr>
        <xdr:cNvPr id="6" name="Rectangle à coins arrondis 5"/>
        <xdr:cNvSpPr/>
      </xdr:nvSpPr>
      <xdr:spPr>
        <a:xfrm>
          <a:off x="7817319" y="25872"/>
          <a:ext cx="1840704" cy="587995"/>
        </a:xfrm>
        <a:prstGeom prst="roundRect">
          <a:avLst/>
        </a:prstGeom>
        <a:solidFill>
          <a:srgbClr val="3204C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fld id="{05B77074-F58A-4CA4-96A5-186148F78AC6}" type="TxLink">
            <a:rPr lang="en-US" sz="1200" b="0" i="0" u="none" strike="noStrike">
              <a:solidFill>
                <a:schemeClr val="bg1"/>
              </a:solidFill>
              <a:latin typeface="Arial Black" panose="020B0A04020102020204" pitchFamily="34" charset="0"/>
              <a:ea typeface="Calibri"/>
              <a:cs typeface="Calibri"/>
            </a:rPr>
            <a:pPr marL="0" indent="0" algn="l"/>
            <a:t>702</a:t>
          </a:fld>
          <a:endParaRPr lang="fr-FR" sz="1200" b="0" i="0" u="none" strike="noStrike">
            <a:solidFill>
              <a:schemeClr val="bg1"/>
            </a:solidFill>
            <a:latin typeface="Arial Black" panose="020B0A040201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15</xdr:col>
      <xdr:colOff>626264</xdr:colOff>
      <xdr:row>1</xdr:row>
      <xdr:rowOff>25872</xdr:rowOff>
    </xdr:from>
    <xdr:to>
      <xdr:col>18</xdr:col>
      <xdr:colOff>183319</xdr:colOff>
      <xdr:row>4</xdr:row>
      <xdr:rowOff>61417</xdr:rowOff>
    </xdr:to>
    <xdr:sp macro="" textlink="Traitement!B8">
      <xdr:nvSpPr>
        <xdr:cNvPr id="7" name="Rectangle à coins arrondis 6"/>
        <xdr:cNvSpPr/>
      </xdr:nvSpPr>
      <xdr:spPr>
        <a:xfrm>
          <a:off x="9770264" y="25872"/>
          <a:ext cx="1843055" cy="587995"/>
        </a:xfrm>
        <a:prstGeom prst="roundRect">
          <a:avLst/>
        </a:prstGeom>
        <a:solidFill>
          <a:srgbClr val="3204C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fld id="{580731FF-F252-47C3-9BC9-A3703837E987}" type="TxLink">
            <a:rPr lang="en-US" sz="1200" b="0" i="0" u="none" strike="noStrike">
              <a:solidFill>
                <a:schemeClr val="bg1"/>
              </a:solidFill>
              <a:latin typeface="Arial Black" panose="020B0A04020102020204" pitchFamily="34" charset="0"/>
              <a:ea typeface="Calibri"/>
              <a:cs typeface="Calibri"/>
            </a:rPr>
            <a:pPr marL="0" indent="0" algn="l"/>
            <a:t> 297 931,00 € </a:t>
          </a:fld>
          <a:endParaRPr lang="fr-FR" sz="1200" b="0" i="0" u="none" strike="noStrike">
            <a:solidFill>
              <a:schemeClr val="bg1"/>
            </a:solidFill>
            <a:latin typeface="Arial Black" panose="020B0A040201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2</xdr:col>
      <xdr:colOff>653676</xdr:colOff>
      <xdr:row>4</xdr:row>
      <xdr:rowOff>151863</xdr:rowOff>
    </xdr:from>
    <xdr:to>
      <xdr:col>7</xdr:col>
      <xdr:colOff>699876</xdr:colOff>
      <xdr:row>13</xdr:row>
      <xdr:rowOff>153389</xdr:rowOff>
    </xdr:to>
    <xdr:sp macro="" textlink="">
      <xdr:nvSpPr>
        <xdr:cNvPr id="8" name="Rectangle à coins arrondis 7"/>
        <xdr:cNvSpPr/>
      </xdr:nvSpPr>
      <xdr:spPr>
        <a:xfrm>
          <a:off x="2185147" y="712157"/>
          <a:ext cx="3874876" cy="1682408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269321</xdr:colOff>
      <xdr:row>4</xdr:row>
      <xdr:rowOff>151863</xdr:rowOff>
    </xdr:from>
    <xdr:to>
      <xdr:col>18</xdr:col>
      <xdr:colOff>292839</xdr:colOff>
      <xdr:row>13</xdr:row>
      <xdr:rowOff>153389</xdr:rowOff>
    </xdr:to>
    <xdr:sp macro="" textlink="">
      <xdr:nvSpPr>
        <xdr:cNvPr id="9" name="Rectangle à coins arrondis 8"/>
        <xdr:cNvSpPr/>
      </xdr:nvSpPr>
      <xdr:spPr>
        <a:xfrm>
          <a:off x="6395203" y="712157"/>
          <a:ext cx="7680871" cy="1682408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0</xdr:colOff>
      <xdr:row>14</xdr:row>
      <xdr:rowOff>112305</xdr:rowOff>
    </xdr:from>
    <xdr:to>
      <xdr:col>8</xdr:col>
      <xdr:colOff>46200</xdr:colOff>
      <xdr:row>23</xdr:row>
      <xdr:rowOff>113832</xdr:rowOff>
    </xdr:to>
    <xdr:sp macro="" textlink="">
      <xdr:nvSpPr>
        <xdr:cNvPr id="10" name="Rectangle à coins arrondis 9"/>
        <xdr:cNvSpPr/>
      </xdr:nvSpPr>
      <xdr:spPr>
        <a:xfrm>
          <a:off x="2297206" y="2540246"/>
          <a:ext cx="3874876" cy="1682410"/>
        </a:xfrm>
        <a:prstGeom prst="roundRect">
          <a:avLst/>
        </a:prstGeom>
        <a:solidFill>
          <a:srgbClr val="F2E9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0</xdr:colOff>
      <xdr:row>24</xdr:row>
      <xdr:rowOff>40945</xdr:rowOff>
    </xdr:from>
    <xdr:to>
      <xdr:col>8</xdr:col>
      <xdr:colOff>47040</xdr:colOff>
      <xdr:row>33</xdr:row>
      <xdr:rowOff>42471</xdr:rowOff>
    </xdr:to>
    <xdr:sp macro="" textlink="">
      <xdr:nvSpPr>
        <xdr:cNvPr id="11" name="Rectangle à coins arrondis 10"/>
        <xdr:cNvSpPr/>
      </xdr:nvSpPr>
      <xdr:spPr>
        <a:xfrm>
          <a:off x="2437279" y="4336533"/>
          <a:ext cx="3875717" cy="1682409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120278</xdr:colOff>
      <xdr:row>14</xdr:row>
      <xdr:rowOff>112305</xdr:rowOff>
    </xdr:from>
    <xdr:to>
      <xdr:col>13</xdr:col>
      <xdr:colOff>166477</xdr:colOff>
      <xdr:row>23</xdr:row>
      <xdr:rowOff>113832</xdr:rowOff>
    </xdr:to>
    <xdr:sp macro="" textlink="">
      <xdr:nvSpPr>
        <xdr:cNvPr id="12" name="Rectangle à coins arrondis 11"/>
        <xdr:cNvSpPr/>
      </xdr:nvSpPr>
      <xdr:spPr>
        <a:xfrm>
          <a:off x="6246160" y="2540246"/>
          <a:ext cx="3874876" cy="168241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246639</xdr:colOff>
      <xdr:row>14</xdr:row>
      <xdr:rowOff>112305</xdr:rowOff>
    </xdr:from>
    <xdr:to>
      <xdr:col>18</xdr:col>
      <xdr:colOff>292839</xdr:colOff>
      <xdr:row>23</xdr:row>
      <xdr:rowOff>113832</xdr:rowOff>
    </xdr:to>
    <xdr:sp macro="" textlink="">
      <xdr:nvSpPr>
        <xdr:cNvPr id="13" name="Rectangle à coins arrondis 12"/>
        <xdr:cNvSpPr/>
      </xdr:nvSpPr>
      <xdr:spPr>
        <a:xfrm>
          <a:off x="10201198" y="2540246"/>
          <a:ext cx="3874876" cy="168241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120278</xdr:colOff>
      <xdr:row>24</xdr:row>
      <xdr:rowOff>40945</xdr:rowOff>
    </xdr:from>
    <xdr:to>
      <xdr:col>13</xdr:col>
      <xdr:colOff>166477</xdr:colOff>
      <xdr:row>33</xdr:row>
      <xdr:rowOff>42471</xdr:rowOff>
    </xdr:to>
    <xdr:sp macro="" textlink="">
      <xdr:nvSpPr>
        <xdr:cNvPr id="14" name="Rectangle à coins arrondis 13"/>
        <xdr:cNvSpPr/>
      </xdr:nvSpPr>
      <xdr:spPr>
        <a:xfrm>
          <a:off x="6246160" y="4336533"/>
          <a:ext cx="3874876" cy="1682409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246639</xdr:colOff>
      <xdr:row>24</xdr:row>
      <xdr:rowOff>40945</xdr:rowOff>
    </xdr:from>
    <xdr:to>
      <xdr:col>18</xdr:col>
      <xdr:colOff>292839</xdr:colOff>
      <xdr:row>33</xdr:row>
      <xdr:rowOff>42471</xdr:rowOff>
    </xdr:to>
    <xdr:sp macro="" textlink="">
      <xdr:nvSpPr>
        <xdr:cNvPr id="15" name="Rectangle à coins arrondis 14"/>
        <xdr:cNvSpPr/>
      </xdr:nvSpPr>
      <xdr:spPr>
        <a:xfrm>
          <a:off x="10201198" y="4336533"/>
          <a:ext cx="3874876" cy="1682409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134189</xdr:colOff>
      <xdr:row>1</xdr:row>
      <xdr:rowOff>7964</xdr:rowOff>
    </xdr:from>
    <xdr:to>
      <xdr:col>4</xdr:col>
      <xdr:colOff>512837</xdr:colOff>
      <xdr:row>2</xdr:row>
      <xdr:rowOff>153073</xdr:rowOff>
    </xdr:to>
    <xdr:sp macro="" textlink="">
      <xdr:nvSpPr>
        <xdr:cNvPr id="16" name="ZoneTexte 15"/>
        <xdr:cNvSpPr txBox="1"/>
      </xdr:nvSpPr>
      <xdr:spPr>
        <a:xfrm>
          <a:off x="134189" y="7964"/>
          <a:ext cx="1140648" cy="329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accent1">
                  <a:lumMod val="20000"/>
                  <a:lumOff val="80000"/>
                </a:schemeClr>
              </a:solidFill>
              <a:latin typeface="Arial Black" panose="020B0A04020102020204" pitchFamily="34" charset="0"/>
            </a:rPr>
            <a:t>Stock</a:t>
          </a:r>
          <a:r>
            <a:rPr lang="fr-FR" sz="1100" baseline="0">
              <a:solidFill>
                <a:schemeClr val="accent1">
                  <a:lumMod val="20000"/>
                  <a:lumOff val="80000"/>
                </a:schemeClr>
              </a:solidFill>
              <a:latin typeface="Arial Black" panose="020B0A04020102020204" pitchFamily="34" charset="0"/>
            </a:rPr>
            <a:t> total</a:t>
          </a:r>
          <a:endParaRPr lang="fr-FR" sz="1100">
            <a:solidFill>
              <a:schemeClr val="accent1">
                <a:lumMod val="20000"/>
                <a:lumOff val="80000"/>
              </a:schemeClr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34939</xdr:colOff>
      <xdr:row>1</xdr:row>
      <xdr:rowOff>7964</xdr:rowOff>
    </xdr:from>
    <xdr:to>
      <xdr:col>8</xdr:col>
      <xdr:colOff>157706</xdr:colOff>
      <xdr:row>3</xdr:row>
      <xdr:rowOff>18314</xdr:rowOff>
    </xdr:to>
    <xdr:sp macro="" textlink="">
      <xdr:nvSpPr>
        <xdr:cNvPr id="17" name="ZoneTexte 16"/>
        <xdr:cNvSpPr txBox="1"/>
      </xdr:nvSpPr>
      <xdr:spPr>
        <a:xfrm>
          <a:off x="2320939" y="7964"/>
          <a:ext cx="1646767" cy="378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accent1">
                  <a:lumMod val="20000"/>
                  <a:lumOff val="80000"/>
                </a:schemeClr>
              </a:solidFill>
              <a:latin typeface="Arial Black" panose="020B0A04020102020204" pitchFamily="34" charset="0"/>
            </a:rPr>
            <a:t>Valeur de</a:t>
          </a:r>
          <a:r>
            <a:rPr lang="fr-FR" sz="1100" baseline="0">
              <a:solidFill>
                <a:schemeClr val="accent1">
                  <a:lumMod val="20000"/>
                  <a:lumOff val="80000"/>
                </a:schemeClr>
              </a:solidFill>
              <a:latin typeface="Arial Black" panose="020B0A04020102020204" pitchFamily="34" charset="0"/>
            </a:rPr>
            <a:t> </a:t>
          </a:r>
          <a:r>
            <a:rPr lang="fr-FR" sz="1100">
              <a:solidFill>
                <a:schemeClr val="accent1">
                  <a:lumMod val="20000"/>
                  <a:lumOff val="80000"/>
                </a:schemeClr>
              </a:solidFill>
              <a:latin typeface="Arial Black" panose="020B0A04020102020204" pitchFamily="34" charset="0"/>
            </a:rPr>
            <a:t>Stock</a:t>
          </a:r>
        </a:p>
      </xdr:txBody>
    </xdr:sp>
    <xdr:clientData/>
  </xdr:twoCellAnchor>
  <xdr:twoCellAnchor>
    <xdr:from>
      <xdr:col>8</xdr:col>
      <xdr:colOff>274357</xdr:colOff>
      <xdr:row>1</xdr:row>
      <xdr:rowOff>7964</xdr:rowOff>
    </xdr:from>
    <xdr:to>
      <xdr:col>10</xdr:col>
      <xdr:colOff>515188</xdr:colOff>
      <xdr:row>2</xdr:row>
      <xdr:rowOff>178945</xdr:rowOff>
    </xdr:to>
    <xdr:sp macro="" textlink="">
      <xdr:nvSpPr>
        <xdr:cNvPr id="18" name="ZoneTexte 17"/>
        <xdr:cNvSpPr txBox="1"/>
      </xdr:nvSpPr>
      <xdr:spPr>
        <a:xfrm>
          <a:off x="4084357" y="7964"/>
          <a:ext cx="1764831" cy="3551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accent1">
                  <a:lumMod val="20000"/>
                  <a:lumOff val="80000"/>
                </a:schemeClr>
              </a:solidFill>
              <a:latin typeface="Arial Black" panose="020B0A04020102020204" pitchFamily="34" charset="0"/>
            </a:rPr>
            <a:t>Total des entrées</a:t>
          </a:r>
        </a:p>
      </xdr:txBody>
    </xdr:sp>
    <xdr:clientData/>
  </xdr:twoCellAnchor>
  <xdr:twoCellAnchor>
    <xdr:from>
      <xdr:col>10</xdr:col>
      <xdr:colOff>560812</xdr:colOff>
      <xdr:row>1</xdr:row>
      <xdr:rowOff>0</xdr:rowOff>
    </xdr:from>
    <xdr:to>
      <xdr:col>13</xdr:col>
      <xdr:colOff>240021</xdr:colOff>
      <xdr:row>2</xdr:row>
      <xdr:rowOff>53389</xdr:rowOff>
    </xdr:to>
    <xdr:sp macro="" textlink="">
      <xdr:nvSpPr>
        <xdr:cNvPr id="19" name="ZoneTexte 18"/>
        <xdr:cNvSpPr txBox="1"/>
      </xdr:nvSpPr>
      <xdr:spPr>
        <a:xfrm>
          <a:off x="5894812" y="0"/>
          <a:ext cx="1965209" cy="2375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accent1">
                  <a:lumMod val="20000"/>
                  <a:lumOff val="80000"/>
                </a:schemeClr>
              </a:solidFill>
              <a:latin typeface="Arial Black" panose="020B0A04020102020204" pitchFamily="34" charset="0"/>
            </a:rPr>
            <a:t>valeurs</a:t>
          </a:r>
          <a:r>
            <a:rPr lang="fr-FR" sz="1100" baseline="0">
              <a:solidFill>
                <a:schemeClr val="accent1">
                  <a:lumMod val="20000"/>
                  <a:lumOff val="80000"/>
                </a:schemeClr>
              </a:solidFill>
              <a:latin typeface="Arial Black" panose="020B0A04020102020204" pitchFamily="34" charset="0"/>
            </a:rPr>
            <a:t> des entrées</a:t>
          </a:r>
          <a:endParaRPr lang="fr-FR" sz="1100">
            <a:solidFill>
              <a:schemeClr val="accent1">
                <a:lumMod val="20000"/>
                <a:lumOff val="80000"/>
              </a:schemeClr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13</xdr:col>
      <xdr:colOff>355729</xdr:colOff>
      <xdr:row>1</xdr:row>
      <xdr:rowOff>7964</xdr:rowOff>
    </xdr:from>
    <xdr:to>
      <xdr:col>15</xdr:col>
      <xdr:colOff>691576</xdr:colOff>
      <xdr:row>2</xdr:row>
      <xdr:rowOff>120149</xdr:rowOff>
    </xdr:to>
    <xdr:sp macro="" textlink="">
      <xdr:nvSpPr>
        <xdr:cNvPr id="20" name="ZoneTexte 19"/>
        <xdr:cNvSpPr txBox="1"/>
      </xdr:nvSpPr>
      <xdr:spPr>
        <a:xfrm>
          <a:off x="7975729" y="7964"/>
          <a:ext cx="1859847" cy="2963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accent1">
                  <a:lumMod val="20000"/>
                  <a:lumOff val="80000"/>
                </a:schemeClr>
              </a:solidFill>
              <a:latin typeface="Arial Black" panose="020B0A04020102020204" pitchFamily="34" charset="0"/>
            </a:rPr>
            <a:t>Total des sorties</a:t>
          </a:r>
        </a:p>
      </xdr:txBody>
    </xdr:sp>
    <xdr:clientData/>
  </xdr:twoCellAnchor>
  <xdr:twoCellAnchor>
    <xdr:from>
      <xdr:col>15</xdr:col>
      <xdr:colOff>712740</xdr:colOff>
      <xdr:row>1</xdr:row>
      <xdr:rowOff>7964</xdr:rowOff>
    </xdr:from>
    <xdr:to>
      <xdr:col>18</xdr:col>
      <xdr:colOff>310577</xdr:colOff>
      <xdr:row>2</xdr:row>
      <xdr:rowOff>143667</xdr:rowOff>
    </xdr:to>
    <xdr:sp macro="" textlink="">
      <xdr:nvSpPr>
        <xdr:cNvPr id="21" name="ZoneTexte 20"/>
        <xdr:cNvSpPr txBox="1"/>
      </xdr:nvSpPr>
      <xdr:spPr>
        <a:xfrm>
          <a:off x="9856740" y="7964"/>
          <a:ext cx="1883837" cy="3198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accent1">
                  <a:lumMod val="20000"/>
                  <a:lumOff val="80000"/>
                </a:schemeClr>
              </a:solidFill>
              <a:latin typeface="Arial Black" panose="020B0A04020102020204" pitchFamily="34" charset="0"/>
            </a:rPr>
            <a:t>Valeurs des sorties</a:t>
          </a:r>
        </a:p>
      </xdr:txBody>
    </xdr:sp>
    <xdr:clientData/>
  </xdr:twoCellAnchor>
  <xdr:twoCellAnchor editAs="oneCell">
    <xdr:from>
      <xdr:col>5</xdr:col>
      <xdr:colOff>33060</xdr:colOff>
      <xdr:row>2</xdr:row>
      <xdr:rowOff>100426</xdr:rowOff>
    </xdr:from>
    <xdr:to>
      <xdr:col>5</xdr:col>
      <xdr:colOff>321060</xdr:colOff>
      <xdr:row>4</xdr:row>
      <xdr:rowOff>20126</xdr:rowOff>
    </xdr:to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7284" y="866805"/>
          <a:ext cx="288000" cy="291942"/>
        </a:xfrm>
        <a:prstGeom prst="rect">
          <a:avLst/>
        </a:prstGeom>
      </xdr:spPr>
    </xdr:pic>
    <xdr:clientData/>
  </xdr:twoCellAnchor>
  <xdr:twoCellAnchor editAs="oneCell">
    <xdr:from>
      <xdr:col>10</xdr:col>
      <xdr:colOff>31771</xdr:colOff>
      <xdr:row>2</xdr:row>
      <xdr:rowOff>105562</xdr:rowOff>
    </xdr:from>
    <xdr:to>
      <xdr:col>10</xdr:col>
      <xdr:colOff>316606</xdr:colOff>
      <xdr:row>4</xdr:row>
      <xdr:rowOff>20126</xdr:rowOff>
    </xdr:to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7892" y="871941"/>
          <a:ext cx="284835" cy="286806"/>
        </a:xfrm>
        <a:prstGeom prst="rect">
          <a:avLst/>
        </a:prstGeom>
      </xdr:spPr>
    </xdr:pic>
    <xdr:clientData/>
  </xdr:twoCellAnchor>
  <xdr:twoCellAnchor editAs="oneCell">
    <xdr:from>
      <xdr:col>0</xdr:col>
      <xdr:colOff>505778</xdr:colOff>
      <xdr:row>1</xdr:row>
      <xdr:rowOff>20132</xdr:rowOff>
    </xdr:from>
    <xdr:to>
      <xdr:col>0</xdr:col>
      <xdr:colOff>791950</xdr:colOff>
      <xdr:row>2</xdr:row>
      <xdr:rowOff>123981</xdr:rowOff>
    </xdr:to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5778" y="603922"/>
          <a:ext cx="286172" cy="288204"/>
        </a:xfrm>
        <a:prstGeom prst="rect">
          <a:avLst/>
        </a:prstGeom>
      </xdr:spPr>
    </xdr:pic>
    <xdr:clientData/>
  </xdr:twoCellAnchor>
  <xdr:twoCellAnchor editAs="oneCell">
    <xdr:from>
      <xdr:col>7</xdr:col>
      <xdr:colOff>464245</xdr:colOff>
      <xdr:row>2</xdr:row>
      <xdr:rowOff>97705</xdr:rowOff>
    </xdr:from>
    <xdr:to>
      <xdr:col>7</xdr:col>
      <xdr:colOff>752245</xdr:colOff>
      <xdr:row>4</xdr:row>
      <xdr:rowOff>20126</xdr:rowOff>
    </xdr:to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1228" y="864084"/>
          <a:ext cx="288000" cy="294663"/>
        </a:xfrm>
        <a:prstGeom prst="rect">
          <a:avLst/>
        </a:prstGeom>
      </xdr:spPr>
    </xdr:pic>
    <xdr:clientData/>
  </xdr:twoCellAnchor>
  <xdr:twoCellAnchor editAs="oneCell">
    <xdr:from>
      <xdr:col>17</xdr:col>
      <xdr:colOff>531931</xdr:colOff>
      <xdr:row>2</xdr:row>
      <xdr:rowOff>100426</xdr:rowOff>
    </xdr:from>
    <xdr:to>
      <xdr:col>18</xdr:col>
      <xdr:colOff>57930</xdr:colOff>
      <xdr:row>4</xdr:row>
      <xdr:rowOff>20126</xdr:rowOff>
    </xdr:to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34086" y="866805"/>
          <a:ext cx="292378" cy="291942"/>
        </a:xfrm>
        <a:prstGeom prst="rect">
          <a:avLst/>
        </a:prstGeom>
      </xdr:spPr>
    </xdr:pic>
    <xdr:clientData/>
  </xdr:twoCellAnchor>
  <xdr:twoCellAnchor editAs="oneCell">
    <xdr:from>
      <xdr:col>15</xdr:col>
      <xdr:colOff>171578</xdr:colOff>
      <xdr:row>2</xdr:row>
      <xdr:rowOff>100426</xdr:rowOff>
    </xdr:from>
    <xdr:to>
      <xdr:col>15</xdr:col>
      <xdr:colOff>459578</xdr:colOff>
      <xdr:row>4</xdr:row>
      <xdr:rowOff>20126</xdr:rowOff>
    </xdr:to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09595" y="866805"/>
          <a:ext cx="288000" cy="291942"/>
        </a:xfrm>
        <a:prstGeom prst="rect">
          <a:avLst/>
        </a:prstGeom>
      </xdr:spPr>
    </xdr:pic>
    <xdr:clientData/>
  </xdr:twoCellAnchor>
  <xdr:twoCellAnchor editAs="oneCell">
    <xdr:from>
      <xdr:col>15</xdr:col>
      <xdr:colOff>267979</xdr:colOff>
      <xdr:row>0</xdr:row>
      <xdr:rowOff>166532</xdr:rowOff>
    </xdr:from>
    <xdr:to>
      <xdr:col>15</xdr:col>
      <xdr:colOff>519622</xdr:colOff>
      <xdr:row>0</xdr:row>
      <xdr:rowOff>418532</xdr:rowOff>
    </xdr:to>
    <xdr:pic macro="[0]!Module9.actualiser"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00398" y="166532"/>
          <a:ext cx="251643" cy="252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464522</xdr:colOff>
      <xdr:row>2</xdr:row>
      <xdr:rowOff>102397</xdr:rowOff>
    </xdr:from>
    <xdr:to>
      <xdr:col>12</xdr:col>
      <xdr:colOff>752522</xdr:colOff>
      <xdr:row>4</xdr:row>
      <xdr:rowOff>20126</xdr:rowOff>
    </xdr:to>
    <xdr:pic>
      <xdr:nvPicPr>
        <xdr:cNvPr id="29" name="Image 28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3401" y="868776"/>
          <a:ext cx="288000" cy="289971"/>
        </a:xfrm>
        <a:prstGeom prst="rect">
          <a:avLst/>
        </a:prstGeom>
      </xdr:spPr>
    </xdr:pic>
    <xdr:clientData/>
  </xdr:twoCellAnchor>
  <xdr:twoCellAnchor editAs="oneCell">
    <xdr:from>
      <xdr:col>0</xdr:col>
      <xdr:colOff>524052</xdr:colOff>
      <xdr:row>4</xdr:row>
      <xdr:rowOff>74513</xdr:rowOff>
    </xdr:from>
    <xdr:to>
      <xdr:col>0</xdr:col>
      <xdr:colOff>740052</xdr:colOff>
      <xdr:row>5</xdr:row>
      <xdr:rowOff>110241</xdr:rowOff>
    </xdr:to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4052" y="1211368"/>
          <a:ext cx="216000" cy="220083"/>
        </a:xfrm>
        <a:prstGeom prst="rect">
          <a:avLst/>
        </a:prstGeom>
      </xdr:spPr>
    </xdr:pic>
    <xdr:clientData/>
  </xdr:twoCellAnchor>
  <xdr:twoCellAnchor editAs="oneCell">
    <xdr:from>
      <xdr:col>0</xdr:col>
      <xdr:colOff>555857</xdr:colOff>
      <xdr:row>3</xdr:row>
      <xdr:rowOff>23447</xdr:rowOff>
    </xdr:from>
    <xdr:to>
      <xdr:col>0</xdr:col>
      <xdr:colOff>771857</xdr:colOff>
      <xdr:row>4</xdr:row>
      <xdr:rowOff>53897</xdr:rowOff>
    </xdr:to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56454" y="975350"/>
          <a:ext cx="214805" cy="216000"/>
        </a:xfrm>
        <a:prstGeom prst="rect">
          <a:avLst/>
        </a:prstGeom>
      </xdr:spPr>
    </xdr:pic>
    <xdr:clientData/>
  </xdr:twoCellAnchor>
  <xdr:twoCellAnchor>
    <xdr:from>
      <xdr:col>3</xdr:col>
      <xdr:colOff>18678</xdr:colOff>
      <xdr:row>4</xdr:row>
      <xdr:rowOff>134343</xdr:rowOff>
    </xdr:from>
    <xdr:to>
      <xdr:col>5</xdr:col>
      <xdr:colOff>528408</xdr:colOff>
      <xdr:row>13</xdr:row>
      <xdr:rowOff>131061</xdr:rowOff>
    </xdr:to>
    <xdr:graphicFrame macro="">
      <xdr:nvGraphicFramePr>
        <xdr:cNvPr id="32" name="Graphique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634999</xdr:colOff>
      <xdr:row>6</xdr:row>
      <xdr:rowOff>102720</xdr:rowOff>
    </xdr:from>
    <xdr:to>
      <xdr:col>4</xdr:col>
      <xdr:colOff>672352</xdr:colOff>
      <xdr:row>10</xdr:row>
      <xdr:rowOff>121397</xdr:rowOff>
    </xdr:to>
    <xdr:sp macro="" textlink="">
      <xdr:nvSpPr>
        <xdr:cNvPr id="33" name="Ellipse 32"/>
        <xdr:cNvSpPr/>
      </xdr:nvSpPr>
      <xdr:spPr>
        <a:xfrm>
          <a:off x="2932205" y="1036544"/>
          <a:ext cx="803088" cy="765735"/>
        </a:xfrm>
        <a:prstGeom prst="ellipse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626237</xdr:colOff>
      <xdr:row>7</xdr:row>
      <xdr:rowOff>104334</xdr:rowOff>
    </xdr:from>
    <xdr:to>
      <xdr:col>4</xdr:col>
      <xdr:colOff>737722</xdr:colOff>
      <xdr:row>10</xdr:row>
      <xdr:rowOff>84045</xdr:rowOff>
    </xdr:to>
    <xdr:sp macro="" textlink="">
      <xdr:nvSpPr>
        <xdr:cNvPr id="34" name="ZoneTexte 33"/>
        <xdr:cNvSpPr txBox="1"/>
      </xdr:nvSpPr>
      <xdr:spPr>
        <a:xfrm>
          <a:off x="2923443" y="1224922"/>
          <a:ext cx="877220" cy="5400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1">
              <a:solidFill>
                <a:sysClr val="windowText" lastClr="000000"/>
              </a:solidFill>
              <a:latin typeface="Arial Black" panose="020B0A04020102020204" pitchFamily="34" charset="0"/>
              <a:cs typeface="Arial" panose="020B0604020202020204" pitchFamily="34" charset="0"/>
            </a:rPr>
            <a:t>Stock par categorie</a:t>
          </a:r>
        </a:p>
      </xdr:txBody>
    </xdr:sp>
    <xdr:clientData/>
  </xdr:twoCellAnchor>
  <xdr:twoCellAnchor>
    <xdr:from>
      <xdr:col>5</xdr:col>
      <xdr:colOff>317500</xdr:colOff>
      <xdr:row>4</xdr:row>
      <xdr:rowOff>134343</xdr:rowOff>
    </xdr:from>
    <xdr:to>
      <xdr:col>8</xdr:col>
      <xdr:colOff>61494</xdr:colOff>
      <xdr:row>13</xdr:row>
      <xdr:rowOff>131061</xdr:rowOff>
    </xdr:to>
    <xdr:graphicFrame macro="">
      <xdr:nvGraphicFramePr>
        <xdr:cNvPr id="35" name="Graphique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448236</xdr:colOff>
      <xdr:row>4</xdr:row>
      <xdr:rowOff>158750</xdr:rowOff>
    </xdr:from>
    <xdr:to>
      <xdr:col>5</xdr:col>
      <xdr:colOff>448236</xdr:colOff>
      <xdr:row>12</xdr:row>
      <xdr:rowOff>112059</xdr:rowOff>
    </xdr:to>
    <xdr:cxnSp macro="">
      <xdr:nvCxnSpPr>
        <xdr:cNvPr id="39" name="Connecteur droit 38"/>
        <xdr:cNvCxnSpPr/>
      </xdr:nvCxnSpPr>
      <xdr:spPr>
        <a:xfrm>
          <a:off x="4276912" y="719044"/>
          <a:ext cx="0" cy="1447427"/>
        </a:xfrm>
        <a:prstGeom prst="line">
          <a:avLst/>
        </a:prstGeom>
        <a:ln>
          <a:solidFill>
            <a:srgbClr val="4C47B9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91894</xdr:colOff>
      <xdr:row>4</xdr:row>
      <xdr:rowOff>134343</xdr:rowOff>
    </xdr:from>
    <xdr:to>
      <xdr:col>10</xdr:col>
      <xdr:colOff>601623</xdr:colOff>
      <xdr:row>13</xdr:row>
      <xdr:rowOff>131061</xdr:rowOff>
    </xdr:to>
    <xdr:graphicFrame macro="">
      <xdr:nvGraphicFramePr>
        <xdr:cNvPr id="40" name="Graphique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10</xdr:col>
      <xdr:colOff>596158</xdr:colOff>
      <xdr:row>4</xdr:row>
      <xdr:rowOff>134343</xdr:rowOff>
    </xdr:from>
    <xdr:to>
      <xdr:col>13</xdr:col>
      <xdr:colOff>340152</xdr:colOff>
      <xdr:row>13</xdr:row>
      <xdr:rowOff>131061</xdr:rowOff>
    </xdr:to>
    <xdr:graphicFrame macro="">
      <xdr:nvGraphicFramePr>
        <xdr:cNvPr id="43" name="Graphique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12</xdr:col>
      <xdr:colOff>689542</xdr:colOff>
      <xdr:row>4</xdr:row>
      <xdr:rowOff>134343</xdr:rowOff>
    </xdr:from>
    <xdr:to>
      <xdr:col>15</xdr:col>
      <xdr:colOff>433537</xdr:colOff>
      <xdr:row>13</xdr:row>
      <xdr:rowOff>131061</xdr:rowOff>
    </xdr:to>
    <xdr:graphicFrame macro="">
      <xdr:nvGraphicFramePr>
        <xdr:cNvPr id="44" name="Graphique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15</xdr:col>
      <xdr:colOff>568513</xdr:colOff>
      <xdr:row>4</xdr:row>
      <xdr:rowOff>115666</xdr:rowOff>
    </xdr:from>
    <xdr:to>
      <xdr:col>18</xdr:col>
      <xdr:colOff>312507</xdr:colOff>
      <xdr:row>13</xdr:row>
      <xdr:rowOff>112384</xdr:rowOff>
    </xdr:to>
    <xdr:graphicFrame macro="">
      <xdr:nvGraphicFramePr>
        <xdr:cNvPr id="45" name="Graphique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</xdr:col>
      <xdr:colOff>217767</xdr:colOff>
      <xdr:row>6</xdr:row>
      <xdr:rowOff>152400</xdr:rowOff>
    </xdr:from>
    <xdr:to>
      <xdr:col>7</xdr:col>
      <xdr:colOff>255120</xdr:colOff>
      <xdr:row>10</xdr:row>
      <xdr:rowOff>171077</xdr:rowOff>
    </xdr:to>
    <xdr:sp macro="" textlink="">
      <xdr:nvSpPr>
        <xdr:cNvPr id="46" name="Ellipse 45"/>
        <xdr:cNvSpPr/>
      </xdr:nvSpPr>
      <xdr:spPr>
        <a:xfrm>
          <a:off x="4812179" y="1086224"/>
          <a:ext cx="803088" cy="765735"/>
        </a:xfrm>
        <a:prstGeom prst="ellipse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218343</xdr:colOff>
      <xdr:row>7</xdr:row>
      <xdr:rowOff>172691</xdr:rowOff>
    </xdr:from>
    <xdr:to>
      <xdr:col>7</xdr:col>
      <xdr:colOff>329828</xdr:colOff>
      <xdr:row>10</xdr:row>
      <xdr:rowOff>56031</xdr:rowOff>
    </xdr:to>
    <xdr:sp macro="" textlink="">
      <xdr:nvSpPr>
        <xdr:cNvPr id="37" name="ZoneTexte 36"/>
        <xdr:cNvSpPr txBox="1"/>
      </xdr:nvSpPr>
      <xdr:spPr>
        <a:xfrm>
          <a:off x="4812755" y="1293279"/>
          <a:ext cx="877220" cy="443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1">
              <a:solidFill>
                <a:sysClr val="windowText" lastClr="000000"/>
              </a:solidFill>
              <a:latin typeface="Arial Black" panose="020B0A04020102020204" pitchFamily="34" charset="0"/>
              <a:cs typeface="Arial" panose="020B0604020202020204" pitchFamily="34" charset="0"/>
            </a:rPr>
            <a:t>Valeur par categorie</a:t>
          </a:r>
        </a:p>
      </xdr:txBody>
    </xdr:sp>
    <xdr:clientData/>
  </xdr:twoCellAnchor>
  <xdr:twoCellAnchor>
    <xdr:from>
      <xdr:col>10</xdr:col>
      <xdr:colOff>516592</xdr:colOff>
      <xdr:row>4</xdr:row>
      <xdr:rowOff>180414</xdr:rowOff>
    </xdr:from>
    <xdr:to>
      <xdr:col>10</xdr:col>
      <xdr:colOff>516592</xdr:colOff>
      <xdr:row>12</xdr:row>
      <xdr:rowOff>133723</xdr:rowOff>
    </xdr:to>
    <xdr:cxnSp macro="">
      <xdr:nvCxnSpPr>
        <xdr:cNvPr id="47" name="Connecteur droit 46"/>
        <xdr:cNvCxnSpPr/>
      </xdr:nvCxnSpPr>
      <xdr:spPr>
        <a:xfrm>
          <a:off x="8173945" y="740708"/>
          <a:ext cx="0" cy="1447427"/>
        </a:xfrm>
        <a:prstGeom prst="line">
          <a:avLst/>
        </a:prstGeom>
        <a:ln>
          <a:solidFill>
            <a:srgbClr val="4C47B9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575610</xdr:colOff>
      <xdr:row>4</xdr:row>
      <xdr:rowOff>164725</xdr:rowOff>
    </xdr:from>
    <xdr:to>
      <xdr:col>15</xdr:col>
      <xdr:colOff>575610</xdr:colOff>
      <xdr:row>12</xdr:row>
      <xdr:rowOff>118034</xdr:rowOff>
    </xdr:to>
    <xdr:cxnSp macro="">
      <xdr:nvCxnSpPr>
        <xdr:cNvPr id="48" name="Connecteur droit 47"/>
        <xdr:cNvCxnSpPr/>
      </xdr:nvCxnSpPr>
      <xdr:spPr>
        <a:xfrm>
          <a:off x="12061639" y="725019"/>
          <a:ext cx="0" cy="1447427"/>
        </a:xfrm>
        <a:prstGeom prst="line">
          <a:avLst/>
        </a:prstGeom>
        <a:ln>
          <a:solidFill>
            <a:srgbClr val="4C47B9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149039</xdr:colOff>
      <xdr:row>4</xdr:row>
      <xdr:rowOff>177052</xdr:rowOff>
    </xdr:from>
    <xdr:to>
      <xdr:col>13</xdr:col>
      <xdr:colOff>149039</xdr:colOff>
      <xdr:row>12</xdr:row>
      <xdr:rowOff>130361</xdr:rowOff>
    </xdr:to>
    <xdr:cxnSp macro="">
      <xdr:nvCxnSpPr>
        <xdr:cNvPr id="49" name="Connecteur droit 48"/>
        <xdr:cNvCxnSpPr/>
      </xdr:nvCxnSpPr>
      <xdr:spPr>
        <a:xfrm>
          <a:off x="10103598" y="737346"/>
          <a:ext cx="0" cy="1447427"/>
        </a:xfrm>
        <a:prstGeom prst="line">
          <a:avLst/>
        </a:prstGeom>
        <a:ln>
          <a:solidFill>
            <a:srgbClr val="4C47B9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261470</xdr:colOff>
      <xdr:row>14</xdr:row>
      <xdr:rowOff>112059</xdr:rowOff>
    </xdr:from>
    <xdr:to>
      <xdr:col>13</xdr:col>
      <xdr:colOff>284793</xdr:colOff>
      <xdr:row>23</xdr:row>
      <xdr:rowOff>29576</xdr:rowOff>
    </xdr:to>
    <xdr:graphicFrame macro="">
      <xdr:nvGraphicFramePr>
        <xdr:cNvPr id="50" name="Graphique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233298</xdr:colOff>
      <xdr:row>14</xdr:row>
      <xdr:rowOff>112059</xdr:rowOff>
    </xdr:from>
    <xdr:to>
      <xdr:col>18</xdr:col>
      <xdr:colOff>256622</xdr:colOff>
      <xdr:row>23</xdr:row>
      <xdr:rowOff>29576</xdr:rowOff>
    </xdr:to>
    <xdr:graphicFrame macro="">
      <xdr:nvGraphicFramePr>
        <xdr:cNvPr id="52" name="Graphique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392298</xdr:colOff>
      <xdr:row>14</xdr:row>
      <xdr:rowOff>154014</xdr:rowOff>
    </xdr:from>
    <xdr:to>
      <xdr:col>16</xdr:col>
      <xdr:colOff>161738</xdr:colOff>
      <xdr:row>16</xdr:row>
      <xdr:rowOff>40340</xdr:rowOff>
    </xdr:to>
    <xdr:sp macro="" textlink="">
      <xdr:nvSpPr>
        <xdr:cNvPr id="54" name="ZoneTexte 53"/>
        <xdr:cNvSpPr txBox="1"/>
      </xdr:nvSpPr>
      <xdr:spPr>
        <a:xfrm>
          <a:off x="10486930" y="2581955"/>
          <a:ext cx="2066646" cy="2598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des Sorties par mois</a:t>
          </a:r>
          <a:endParaRPr lang="fr-F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267913</xdr:colOff>
      <xdr:row>14</xdr:row>
      <xdr:rowOff>154014</xdr:rowOff>
    </xdr:from>
    <xdr:to>
      <xdr:col>11</xdr:col>
      <xdr:colOff>37353</xdr:colOff>
      <xdr:row>16</xdr:row>
      <xdr:rowOff>40340</xdr:rowOff>
    </xdr:to>
    <xdr:sp macro="" textlink="">
      <xdr:nvSpPr>
        <xdr:cNvPr id="53" name="ZoneTexte 52"/>
        <xdr:cNvSpPr txBox="1"/>
      </xdr:nvSpPr>
      <xdr:spPr>
        <a:xfrm>
          <a:off x="6533869" y="2581955"/>
          <a:ext cx="2066646" cy="2598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des entrées par mois</a:t>
          </a:r>
          <a:endParaRPr lang="fr-F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404624</xdr:colOff>
      <xdr:row>24</xdr:row>
      <xdr:rowOff>116661</xdr:rowOff>
    </xdr:from>
    <xdr:to>
      <xdr:col>16</xdr:col>
      <xdr:colOff>174064</xdr:colOff>
      <xdr:row>26</xdr:row>
      <xdr:rowOff>2987</xdr:rowOff>
    </xdr:to>
    <xdr:sp macro="" textlink="">
      <xdr:nvSpPr>
        <xdr:cNvPr id="56" name="ZoneTexte 55"/>
        <xdr:cNvSpPr txBox="1"/>
      </xdr:nvSpPr>
      <xdr:spPr>
        <a:xfrm>
          <a:off x="10359183" y="4412249"/>
          <a:ext cx="2066646" cy="2598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Valeur des Sorties par mois</a:t>
          </a:r>
          <a:endParaRPr lang="fr-F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267913</xdr:colOff>
      <xdr:row>24</xdr:row>
      <xdr:rowOff>116661</xdr:rowOff>
    </xdr:from>
    <xdr:to>
      <xdr:col>11</xdr:col>
      <xdr:colOff>37353</xdr:colOff>
      <xdr:row>26</xdr:row>
      <xdr:rowOff>2987</xdr:rowOff>
    </xdr:to>
    <xdr:sp macro="" textlink="">
      <xdr:nvSpPr>
        <xdr:cNvPr id="55" name="ZoneTexte 54"/>
        <xdr:cNvSpPr txBox="1"/>
      </xdr:nvSpPr>
      <xdr:spPr>
        <a:xfrm>
          <a:off x="6393795" y="4412249"/>
          <a:ext cx="2066646" cy="2598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Valeur des entrées par mois</a:t>
          </a:r>
          <a:endParaRPr lang="fr-F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261470</xdr:colOff>
      <xdr:row>24</xdr:row>
      <xdr:rowOff>114317</xdr:rowOff>
    </xdr:from>
    <xdr:to>
      <xdr:col>13</xdr:col>
      <xdr:colOff>284793</xdr:colOff>
      <xdr:row>33</xdr:row>
      <xdr:rowOff>31834</xdr:rowOff>
    </xdr:to>
    <xdr:graphicFrame macro="">
      <xdr:nvGraphicFramePr>
        <xdr:cNvPr id="57" name="Graphique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233298</xdr:colOff>
      <xdr:row>24</xdr:row>
      <xdr:rowOff>114317</xdr:rowOff>
    </xdr:from>
    <xdr:to>
      <xdr:col>18</xdr:col>
      <xdr:colOff>256622</xdr:colOff>
      <xdr:row>33</xdr:row>
      <xdr:rowOff>31834</xdr:rowOff>
    </xdr:to>
    <xdr:graphicFrame macro="">
      <xdr:nvGraphicFramePr>
        <xdr:cNvPr id="58" name="Graphique 5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</xdr:col>
      <xdr:colOff>84045</xdr:colOff>
      <xdr:row>15</xdr:row>
      <xdr:rowOff>168088</xdr:rowOff>
    </xdr:from>
    <xdr:to>
      <xdr:col>8</xdr:col>
      <xdr:colOff>0</xdr:colOff>
      <xdr:row>23</xdr:row>
      <xdr:rowOff>28014</xdr:rowOff>
    </xdr:to>
    <xdr:graphicFrame macro="">
      <xdr:nvGraphicFramePr>
        <xdr:cNvPr id="59" name="Graphique 5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</xdr:col>
      <xdr:colOff>186857</xdr:colOff>
      <xdr:row>14</xdr:row>
      <xdr:rowOff>154014</xdr:rowOff>
    </xdr:from>
    <xdr:to>
      <xdr:col>5</xdr:col>
      <xdr:colOff>722032</xdr:colOff>
      <xdr:row>16</xdr:row>
      <xdr:rowOff>40340</xdr:rowOff>
    </xdr:to>
    <xdr:sp macro="" textlink="">
      <xdr:nvSpPr>
        <xdr:cNvPr id="60" name="ZoneTexte 59"/>
        <xdr:cNvSpPr txBox="1"/>
      </xdr:nvSpPr>
      <xdr:spPr>
        <a:xfrm>
          <a:off x="2624136" y="2581955"/>
          <a:ext cx="2066646" cy="2598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 baseline="0">
              <a:solidFill>
                <a:srgbClr val="51459E"/>
              </a:solidFill>
              <a:latin typeface="Arial" panose="020B0604020202020204" pitchFamily="34" charset="0"/>
              <a:cs typeface="Arial" panose="020B0604020202020204" pitchFamily="34" charset="0"/>
            </a:rPr>
            <a:t>Top 3 des marchandises</a:t>
          </a:r>
          <a:endParaRPr lang="fr-FR" sz="1100" b="1">
            <a:solidFill>
              <a:srgbClr val="51459E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93</xdr:colOff>
      <xdr:row>26</xdr:row>
      <xdr:rowOff>35604</xdr:rowOff>
    </xdr:from>
    <xdr:to>
      <xdr:col>5</xdr:col>
      <xdr:colOff>438897</xdr:colOff>
      <xdr:row>27</xdr:row>
      <xdr:rowOff>130735</xdr:rowOff>
    </xdr:to>
    <xdr:sp macro="" textlink="Traitement!F94">
      <xdr:nvSpPr>
        <xdr:cNvPr id="61" name="ZoneTexte 60"/>
        <xdr:cNvSpPr txBox="1"/>
      </xdr:nvSpPr>
      <xdr:spPr>
        <a:xfrm>
          <a:off x="2437372" y="4704722"/>
          <a:ext cx="1970275" cy="2818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1312485-35FE-4DE6-80F0-AC763AC205F8}" type="TxLink">
            <a:rPr lang="en-US" sz="900" b="1" i="0" u="none" strike="noStrike">
              <a:solidFill>
                <a:srgbClr val="000000"/>
              </a:solidFill>
              <a:latin typeface="Arial Black" panose="020B0A04020102020204" pitchFamily="34" charset="0"/>
              <a:ea typeface="Calibri"/>
              <a:cs typeface="Calibri"/>
            </a:rPr>
            <a:pPr/>
            <a:t>Cuisinière CANDY</a:t>
          </a:fld>
          <a:endParaRPr lang="fr-FR" sz="900" b="1">
            <a:solidFill>
              <a:sysClr val="windowText" lastClr="000000"/>
            </a:solidFill>
            <a:latin typeface="Arial Black" panose="020B0A040201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0</xdr:colOff>
      <xdr:row>37</xdr:row>
      <xdr:rowOff>103960</xdr:rowOff>
    </xdr:from>
    <xdr:to>
      <xdr:col>0</xdr:col>
      <xdr:colOff>311150</xdr:colOff>
      <xdr:row>39</xdr:row>
      <xdr:rowOff>12325</xdr:rowOff>
    </xdr:to>
    <xdr:sp macro="" textlink="">
      <xdr:nvSpPr>
        <xdr:cNvPr id="62" name="ZoneTexte 61"/>
        <xdr:cNvSpPr txBox="1"/>
      </xdr:nvSpPr>
      <xdr:spPr>
        <a:xfrm>
          <a:off x="0" y="6827489"/>
          <a:ext cx="311150" cy="2818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Top </a:t>
          </a:r>
          <a:endParaRPr lang="fr-F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93</xdr:colOff>
      <xdr:row>28</xdr:row>
      <xdr:rowOff>29254</xdr:rowOff>
    </xdr:from>
    <xdr:to>
      <xdr:col>5</xdr:col>
      <xdr:colOff>438897</xdr:colOff>
      <xdr:row>29</xdr:row>
      <xdr:rowOff>124384</xdr:rowOff>
    </xdr:to>
    <xdr:sp macro="" textlink="Traitement!F95">
      <xdr:nvSpPr>
        <xdr:cNvPr id="63" name="ZoneTexte 62"/>
        <xdr:cNvSpPr txBox="1"/>
      </xdr:nvSpPr>
      <xdr:spPr>
        <a:xfrm>
          <a:off x="2437372" y="5071901"/>
          <a:ext cx="1970275" cy="2818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A34A3EE-07F9-4B67-B4FA-37E1F181F2B0}" type="TxLink">
            <a:rPr lang="en-US" sz="900" b="1" i="0" u="none" strike="noStrike">
              <a:solidFill>
                <a:srgbClr val="000000"/>
              </a:solidFill>
              <a:latin typeface="Arial Black" panose="020B0A04020102020204" pitchFamily="34" charset="0"/>
              <a:ea typeface="Calibri"/>
              <a:cs typeface="Calibri"/>
            </a:rPr>
            <a:pPr/>
            <a:t>NINTENDO SWITCH</a:t>
          </a:fld>
          <a:endParaRPr lang="en-US" sz="900" b="1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3</xdr:col>
      <xdr:colOff>93</xdr:colOff>
      <xdr:row>30</xdr:row>
      <xdr:rowOff>22904</xdr:rowOff>
    </xdr:from>
    <xdr:to>
      <xdr:col>5</xdr:col>
      <xdr:colOff>438897</xdr:colOff>
      <xdr:row>31</xdr:row>
      <xdr:rowOff>118034</xdr:rowOff>
    </xdr:to>
    <xdr:sp macro="" textlink="Traitement!F96">
      <xdr:nvSpPr>
        <xdr:cNvPr id="64" name="ZoneTexte 63"/>
        <xdr:cNvSpPr txBox="1"/>
      </xdr:nvSpPr>
      <xdr:spPr>
        <a:xfrm>
          <a:off x="2437372" y="5439080"/>
          <a:ext cx="1970275" cy="2818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AAAC0A6-F194-4169-87E0-72A1E02BC605}" type="TxLink">
            <a:rPr lang="en-US" sz="900" b="1" i="0" u="none" strike="noStrike">
              <a:solidFill>
                <a:srgbClr val="000000"/>
              </a:solidFill>
              <a:latin typeface="Arial Black" panose="020B0A04020102020204" pitchFamily="34" charset="0"/>
              <a:ea typeface="Calibri"/>
              <a:cs typeface="Calibri"/>
            </a:rPr>
            <a:pPr/>
            <a:t>Réfrigérateur WHIRLPOOL</a:t>
          </a:fld>
          <a:endParaRPr lang="fr-FR" sz="900" b="1">
            <a:solidFill>
              <a:sysClr val="windowText" lastClr="000000"/>
            </a:solidFill>
            <a:latin typeface="Arial Black" panose="020B0A040201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588309</xdr:colOff>
      <xdr:row>26</xdr:row>
      <xdr:rowOff>37353</xdr:rowOff>
    </xdr:from>
    <xdr:to>
      <xdr:col>7</xdr:col>
      <xdr:colOff>410882</xdr:colOff>
      <xdr:row>27</xdr:row>
      <xdr:rowOff>102721</xdr:rowOff>
    </xdr:to>
    <xdr:sp macro="" textlink="Traitement!H94">
      <xdr:nvSpPr>
        <xdr:cNvPr id="38" name="Rectangle à coins arrondis 37"/>
        <xdr:cNvSpPr/>
      </xdr:nvSpPr>
      <xdr:spPr>
        <a:xfrm>
          <a:off x="4557059" y="4706471"/>
          <a:ext cx="1354044" cy="252132"/>
        </a:xfrm>
        <a:prstGeom prst="roundRect">
          <a:avLst/>
        </a:prstGeom>
        <a:solidFill>
          <a:srgbClr val="FFFCF7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46C0FCD-81FD-46D4-A77F-0EA735C0DB8E}" type="TxLink">
            <a:rPr lang="en-US" sz="900" b="1" i="0" u="none" strike="noStrike">
              <a:solidFill>
                <a:schemeClr val="accent4">
                  <a:lumMod val="75000"/>
                </a:schemeClr>
              </a:solidFill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algn="ctr"/>
            <a:t>Non-disponible</a:t>
          </a:fld>
          <a:endParaRPr lang="fr-FR" sz="900" b="1">
            <a:solidFill>
              <a:schemeClr val="accent4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588309</xdr:colOff>
      <xdr:row>28</xdr:row>
      <xdr:rowOff>21665</xdr:rowOff>
    </xdr:from>
    <xdr:to>
      <xdr:col>7</xdr:col>
      <xdr:colOff>410882</xdr:colOff>
      <xdr:row>29</xdr:row>
      <xdr:rowOff>87032</xdr:rowOff>
    </xdr:to>
    <xdr:sp macro="" textlink="Traitement!H95">
      <xdr:nvSpPr>
        <xdr:cNvPr id="65" name="Rectangle à coins arrondis 64"/>
        <xdr:cNvSpPr/>
      </xdr:nvSpPr>
      <xdr:spPr>
        <a:xfrm>
          <a:off x="4557059" y="5064312"/>
          <a:ext cx="1354044" cy="252132"/>
        </a:xfrm>
        <a:prstGeom prst="roundRect">
          <a:avLst/>
        </a:prstGeom>
        <a:solidFill>
          <a:srgbClr val="FFFCF7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F4DFF43-40DA-4941-8F8A-EEEAC9495884}" type="TxLink">
            <a:rPr lang="en-US" sz="900" b="1" i="0" u="none" strike="noStrike">
              <a:solidFill>
                <a:schemeClr val="accent4">
                  <a:lumMod val="75000"/>
                </a:schemeClr>
              </a:solidFill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algn="ctr"/>
            <a:t>Stock faible</a:t>
          </a:fld>
          <a:endParaRPr lang="fr-FR" sz="900" b="1">
            <a:solidFill>
              <a:schemeClr val="accent4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588309</xdr:colOff>
      <xdr:row>30</xdr:row>
      <xdr:rowOff>5977</xdr:rowOff>
    </xdr:from>
    <xdr:to>
      <xdr:col>7</xdr:col>
      <xdr:colOff>410882</xdr:colOff>
      <xdr:row>31</xdr:row>
      <xdr:rowOff>71344</xdr:rowOff>
    </xdr:to>
    <xdr:sp macro="" textlink="Traitement!H96">
      <xdr:nvSpPr>
        <xdr:cNvPr id="66" name="Rectangle à coins arrondis 65"/>
        <xdr:cNvSpPr/>
      </xdr:nvSpPr>
      <xdr:spPr>
        <a:xfrm>
          <a:off x="4557059" y="5422153"/>
          <a:ext cx="1354044" cy="252132"/>
        </a:xfrm>
        <a:prstGeom prst="roundRect">
          <a:avLst/>
        </a:prstGeom>
        <a:solidFill>
          <a:srgbClr val="FFFCF7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FE16AA3-0DB1-4168-8E61-6DB69B950B7F}" type="TxLink">
            <a:rPr lang="en-US" sz="900" b="1" i="0" u="none" strike="noStrike">
              <a:solidFill>
                <a:schemeClr val="accent4">
                  <a:lumMod val="75000"/>
                </a:schemeClr>
              </a:solidFill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algn="ctr"/>
            <a:t>Stock faible</a:t>
          </a:fld>
          <a:endParaRPr lang="fr-FR" sz="900" b="1">
            <a:solidFill>
              <a:schemeClr val="accent4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737719</xdr:colOff>
      <xdr:row>24</xdr:row>
      <xdr:rowOff>40944</xdr:rowOff>
    </xdr:from>
    <xdr:to>
      <xdr:col>6</xdr:col>
      <xdr:colOff>93382</xdr:colOff>
      <xdr:row>25</xdr:row>
      <xdr:rowOff>121396</xdr:rowOff>
    </xdr:to>
    <xdr:sp macro="" textlink="">
      <xdr:nvSpPr>
        <xdr:cNvPr id="67" name="ZoneTexte 66"/>
        <xdr:cNvSpPr txBox="1"/>
      </xdr:nvSpPr>
      <xdr:spPr>
        <a:xfrm>
          <a:off x="2437278" y="4336532"/>
          <a:ext cx="2390589" cy="267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Marchandises à approvisionner</a:t>
          </a:r>
          <a:endParaRPr lang="fr-F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317500</xdr:colOff>
      <xdr:row>15</xdr:row>
      <xdr:rowOff>98808</xdr:rowOff>
    </xdr:from>
    <xdr:to>
      <xdr:col>2</xdr:col>
      <xdr:colOff>252132</xdr:colOff>
      <xdr:row>23</xdr:row>
      <xdr:rowOff>141390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8" name="Catégories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7500" y="3263566"/>
              <a:ext cx="1634793" cy="15174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317499</xdr:colOff>
      <xdr:row>24</xdr:row>
      <xdr:rowOff>89097</xdr:rowOff>
    </xdr:from>
    <xdr:to>
      <xdr:col>2</xdr:col>
      <xdr:colOff>235565</xdr:colOff>
      <xdr:row>32</xdr:row>
      <xdr:rowOff>81939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9" name="Références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éférenc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7499" y="4913049"/>
              <a:ext cx="1618227" cy="14676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409679</xdr:colOff>
      <xdr:row>15</xdr:row>
      <xdr:rowOff>27443</xdr:rowOff>
    </xdr:from>
    <xdr:to>
      <xdr:col>2</xdr:col>
      <xdr:colOff>149518</xdr:colOff>
      <xdr:row>15</xdr:row>
      <xdr:rowOff>27443</xdr:rowOff>
    </xdr:to>
    <xdr:cxnSp macro="">
      <xdr:nvCxnSpPr>
        <xdr:cNvPr id="71" name="Connecteur droit 70"/>
        <xdr:cNvCxnSpPr/>
      </xdr:nvCxnSpPr>
      <xdr:spPr>
        <a:xfrm rot="16200000">
          <a:off x="1129679" y="2472201"/>
          <a:ext cx="0" cy="1440000"/>
        </a:xfrm>
        <a:prstGeom prst="line">
          <a:avLst/>
        </a:prstGeom>
        <a:ln w="9525">
          <a:solidFill>
            <a:srgbClr val="4C47B9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409678</xdr:colOff>
      <xdr:row>23</xdr:row>
      <xdr:rowOff>150017</xdr:rowOff>
    </xdr:from>
    <xdr:to>
      <xdr:col>2</xdr:col>
      <xdr:colOff>149517</xdr:colOff>
      <xdr:row>23</xdr:row>
      <xdr:rowOff>150017</xdr:rowOff>
    </xdr:to>
    <xdr:cxnSp macro="">
      <xdr:nvCxnSpPr>
        <xdr:cNvPr id="74" name="Connecteur droit 73"/>
        <xdr:cNvCxnSpPr/>
      </xdr:nvCxnSpPr>
      <xdr:spPr>
        <a:xfrm rot="16200000">
          <a:off x="1129678" y="4069614"/>
          <a:ext cx="0" cy="1440000"/>
        </a:xfrm>
        <a:prstGeom prst="line">
          <a:avLst/>
        </a:prstGeom>
        <a:ln w="9525">
          <a:solidFill>
            <a:srgbClr val="4C47B9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399436</xdr:colOff>
      <xdr:row>8</xdr:row>
      <xdr:rowOff>20488</xdr:rowOff>
    </xdr:from>
    <xdr:to>
      <xdr:col>2</xdr:col>
      <xdr:colOff>139275</xdr:colOff>
      <xdr:row>8</xdr:row>
      <xdr:rowOff>20488</xdr:rowOff>
    </xdr:to>
    <xdr:cxnSp macro="">
      <xdr:nvCxnSpPr>
        <xdr:cNvPr id="75" name="Connecteur droit 74"/>
        <xdr:cNvCxnSpPr/>
      </xdr:nvCxnSpPr>
      <xdr:spPr>
        <a:xfrm rot="16200000">
          <a:off x="1119436" y="1174762"/>
          <a:ext cx="0" cy="1440000"/>
        </a:xfrm>
        <a:prstGeom prst="line">
          <a:avLst/>
        </a:prstGeom>
        <a:ln w="9525">
          <a:solidFill>
            <a:srgbClr val="4C47B9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307258</xdr:colOff>
      <xdr:row>0</xdr:row>
      <xdr:rowOff>81934</xdr:rowOff>
    </xdr:from>
    <xdr:to>
      <xdr:col>0</xdr:col>
      <xdr:colOff>631258</xdr:colOff>
      <xdr:row>0</xdr:row>
      <xdr:rowOff>402374</xdr:rowOff>
    </xdr:to>
    <xdr:pic>
      <xdr:nvPicPr>
        <xdr:cNvPr id="76" name="Image 75"/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258" y="81934"/>
          <a:ext cx="324000" cy="320440"/>
        </a:xfrm>
        <a:prstGeom prst="rect">
          <a:avLst/>
        </a:prstGeom>
      </xdr:spPr>
    </xdr:pic>
    <xdr:clientData/>
  </xdr:twoCellAnchor>
  <xdr:twoCellAnchor>
    <xdr:from>
      <xdr:col>0</xdr:col>
      <xdr:colOff>737234</xdr:colOff>
      <xdr:row>0</xdr:row>
      <xdr:rowOff>57944</xdr:rowOff>
    </xdr:from>
    <xdr:to>
      <xdr:col>2</xdr:col>
      <xdr:colOff>389194</xdr:colOff>
      <xdr:row>0</xdr:row>
      <xdr:rowOff>348226</xdr:rowOff>
    </xdr:to>
    <xdr:sp macro="" textlink="">
      <xdr:nvSpPr>
        <xdr:cNvPr id="77" name="ZoneTexte 76"/>
        <xdr:cNvSpPr txBox="1"/>
      </xdr:nvSpPr>
      <xdr:spPr>
        <a:xfrm>
          <a:off x="737234" y="57944"/>
          <a:ext cx="1352121" cy="2902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>
              <a:solidFill>
                <a:sysClr val="windowText" lastClr="000000"/>
              </a:solidFill>
              <a:latin typeface="Arial Black" panose="020B0A04020102020204" pitchFamily="34" charset="0"/>
            </a:rPr>
            <a:t>Marchandises</a:t>
          </a:r>
        </a:p>
      </xdr:txBody>
    </xdr:sp>
    <xdr:clientData/>
  </xdr:twoCellAnchor>
  <xdr:twoCellAnchor>
    <xdr:from>
      <xdr:col>0</xdr:col>
      <xdr:colOff>736005</xdr:colOff>
      <xdr:row>0</xdr:row>
      <xdr:rowOff>241070</xdr:rowOff>
    </xdr:from>
    <xdr:to>
      <xdr:col>2</xdr:col>
      <xdr:colOff>460887</xdr:colOff>
      <xdr:row>0</xdr:row>
      <xdr:rowOff>481371</xdr:rowOff>
    </xdr:to>
    <xdr:sp macro="" textlink="">
      <xdr:nvSpPr>
        <xdr:cNvPr id="78" name="ZoneTexte 77"/>
        <xdr:cNvSpPr txBox="1"/>
      </xdr:nvSpPr>
      <xdr:spPr>
        <a:xfrm>
          <a:off x="736005" y="241070"/>
          <a:ext cx="1425043" cy="240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>
              <a:solidFill>
                <a:srgbClr val="999999"/>
              </a:solidFill>
              <a:latin typeface="Arial Black" panose="020B0A04020102020204" pitchFamily="34" charset="0"/>
            </a:rPr>
            <a:t>Gestion de stock</a:t>
          </a:r>
        </a:p>
      </xdr:txBody>
    </xdr:sp>
    <xdr:clientData/>
  </xdr:twoCellAnchor>
  <xdr:twoCellAnchor>
    <xdr:from>
      <xdr:col>0</xdr:col>
      <xdr:colOff>766731</xdr:colOff>
      <xdr:row>1</xdr:row>
      <xdr:rowOff>36232</xdr:rowOff>
    </xdr:from>
    <xdr:to>
      <xdr:col>2</xdr:col>
      <xdr:colOff>418691</xdr:colOff>
      <xdr:row>2</xdr:row>
      <xdr:rowOff>142159</xdr:rowOff>
    </xdr:to>
    <xdr:sp macro="" textlink="">
      <xdr:nvSpPr>
        <xdr:cNvPr id="79" name="ZoneTexte 78"/>
        <xdr:cNvSpPr txBox="1"/>
      </xdr:nvSpPr>
      <xdr:spPr>
        <a:xfrm>
          <a:off x="766731" y="620022"/>
          <a:ext cx="1352121" cy="2902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>
              <a:solidFill>
                <a:sysClr val="windowText" lastClr="000000"/>
              </a:solidFill>
              <a:latin typeface="Arial Black" panose="020B0A04020102020204" pitchFamily="34" charset="0"/>
            </a:rPr>
            <a:t>Tableau de bord</a:t>
          </a:r>
        </a:p>
      </xdr:txBody>
    </xdr:sp>
    <xdr:clientData/>
  </xdr:twoCellAnchor>
  <xdr:twoCellAnchor>
    <xdr:from>
      <xdr:col>0</xdr:col>
      <xdr:colOff>765502</xdr:colOff>
      <xdr:row>3</xdr:row>
      <xdr:rowOff>4277</xdr:rowOff>
    </xdr:from>
    <xdr:to>
      <xdr:col>2</xdr:col>
      <xdr:colOff>490384</xdr:colOff>
      <xdr:row>4</xdr:row>
      <xdr:rowOff>60223</xdr:rowOff>
    </xdr:to>
    <xdr:sp macro="[0]!versOperation" textlink="">
      <xdr:nvSpPr>
        <xdr:cNvPr id="80" name="ZoneTexte 79"/>
        <xdr:cNvSpPr txBox="1"/>
      </xdr:nvSpPr>
      <xdr:spPr>
        <a:xfrm>
          <a:off x="765502" y="956777"/>
          <a:ext cx="1425043" cy="240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>
              <a:solidFill>
                <a:srgbClr val="999999"/>
              </a:solidFill>
              <a:latin typeface="Arial Black" panose="020B0A04020102020204" pitchFamily="34" charset="0"/>
            </a:rPr>
            <a:t>Opérations</a:t>
          </a:r>
        </a:p>
      </xdr:txBody>
    </xdr:sp>
    <xdr:clientData/>
  </xdr:twoCellAnchor>
  <xdr:twoCellAnchor>
    <xdr:from>
      <xdr:col>0</xdr:col>
      <xdr:colOff>774515</xdr:colOff>
      <xdr:row>4</xdr:row>
      <xdr:rowOff>95226</xdr:rowOff>
    </xdr:from>
    <xdr:to>
      <xdr:col>2</xdr:col>
      <xdr:colOff>499397</xdr:colOff>
      <xdr:row>5</xdr:row>
      <xdr:rowOff>151172</xdr:rowOff>
    </xdr:to>
    <xdr:sp macro="[0]!versInventaire" textlink="">
      <xdr:nvSpPr>
        <xdr:cNvPr id="81" name="ZoneTexte 80"/>
        <xdr:cNvSpPr txBox="1"/>
      </xdr:nvSpPr>
      <xdr:spPr>
        <a:xfrm>
          <a:off x="774515" y="1232081"/>
          <a:ext cx="1425043" cy="240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>
              <a:solidFill>
                <a:srgbClr val="999999"/>
              </a:solidFill>
              <a:latin typeface="Arial Black" panose="020B0A04020102020204" pitchFamily="34" charset="0"/>
            </a:rPr>
            <a:t>Inventaire</a:t>
          </a:r>
        </a:p>
      </xdr:txBody>
    </xdr:sp>
    <xdr:clientData/>
  </xdr:twoCellAnchor>
  <xdr:twoCellAnchor editAs="oneCell">
    <xdr:from>
      <xdr:col>0</xdr:col>
      <xdr:colOff>327743</xdr:colOff>
      <xdr:row>8</xdr:row>
      <xdr:rowOff>61451</xdr:rowOff>
    </xdr:from>
    <xdr:to>
      <xdr:col>2</xdr:col>
      <xdr:colOff>456382</xdr:colOff>
      <xdr:row>15</xdr:row>
      <xdr:rowOff>28266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2" name="mois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7743" y="1944554"/>
              <a:ext cx="1836570" cy="12696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0.2991</cdr:x>
      <cdr:y>0.23624</cdr:y>
    </cdr:from>
    <cdr:to>
      <cdr:x>0.69254</cdr:x>
      <cdr:y>0.69269</cdr:y>
    </cdr:to>
    <cdr:sp macro="" textlink="">
      <cdr:nvSpPr>
        <cdr:cNvPr id="4" name="Ellipse 3"/>
        <cdr:cNvSpPr/>
      </cdr:nvSpPr>
      <cdr:spPr>
        <a:xfrm xmlns:a="http://schemas.openxmlformats.org/drawingml/2006/main">
          <a:off x="610518" y="396314"/>
          <a:ext cx="803088" cy="765735"/>
        </a:xfrm>
        <a:prstGeom xmlns:a="http://schemas.openxmlformats.org/drawingml/2006/main" prst="ellipse">
          <a:avLst/>
        </a:prstGeom>
        <a:solidFill xmlns:a="http://schemas.openxmlformats.org/drawingml/2006/main">
          <a:srgbClr val="FFFFFF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fr-FR" sz="1100"/>
        </a:p>
      </cdr:txBody>
    </cdr:sp>
  </cdr:relSizeAnchor>
  <cdr:relSizeAnchor xmlns:cdr="http://schemas.openxmlformats.org/drawingml/2006/chartDrawing">
    <cdr:from>
      <cdr:x>0.29481</cdr:x>
      <cdr:y>0.27617</cdr:y>
    </cdr:from>
    <cdr:to>
      <cdr:x>0.73728</cdr:x>
      <cdr:y>0.61016</cdr:y>
    </cdr:to>
    <cdr:sp macro="" textlink="">
      <cdr:nvSpPr>
        <cdr:cNvPr id="6" name="ZoneTexte 33"/>
        <cdr:cNvSpPr txBox="1"/>
      </cdr:nvSpPr>
      <cdr:spPr>
        <a:xfrm xmlns:a="http://schemas.openxmlformats.org/drawingml/2006/main">
          <a:off x="601756" y="463305"/>
          <a:ext cx="903189" cy="5602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900" b="1">
              <a:solidFill>
                <a:sysClr val="windowText" lastClr="000000"/>
              </a:solidFill>
              <a:latin typeface="Arial Black" panose="020B0A04020102020204" pitchFamily="34" charset="0"/>
              <a:cs typeface="Arial" panose="020B0604020202020204" pitchFamily="34" charset="0"/>
            </a:rPr>
            <a:t>total</a:t>
          </a:r>
          <a:r>
            <a:rPr lang="fr-FR" sz="900" b="1" baseline="0">
              <a:solidFill>
                <a:sysClr val="windowText" lastClr="000000"/>
              </a:solidFill>
              <a:latin typeface="Arial Black" panose="020B0A04020102020204" pitchFamily="34" charset="0"/>
              <a:cs typeface="Arial" panose="020B0604020202020204" pitchFamily="34" charset="0"/>
            </a:rPr>
            <a:t> des entrées</a:t>
          </a:r>
          <a:r>
            <a:rPr lang="fr-FR" sz="900" b="1">
              <a:solidFill>
                <a:sysClr val="windowText" lastClr="000000"/>
              </a:solidFill>
              <a:latin typeface="Arial Black" panose="020B0A04020102020204" pitchFamily="34" charset="0"/>
              <a:cs typeface="Arial" panose="020B0604020202020204" pitchFamily="34" charset="0"/>
            </a:rPr>
            <a:t> par categorie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0.26707</cdr:x>
      <cdr:y>0.21397</cdr:y>
    </cdr:from>
    <cdr:to>
      <cdr:x>0.66051</cdr:x>
      <cdr:y>0.67042</cdr:y>
    </cdr:to>
    <cdr:sp macro="" textlink="">
      <cdr:nvSpPr>
        <cdr:cNvPr id="4" name="Ellipse 3"/>
        <cdr:cNvSpPr/>
      </cdr:nvSpPr>
      <cdr:spPr>
        <a:xfrm xmlns:a="http://schemas.openxmlformats.org/drawingml/2006/main">
          <a:off x="545150" y="358962"/>
          <a:ext cx="803088" cy="765735"/>
        </a:xfrm>
        <a:prstGeom xmlns:a="http://schemas.openxmlformats.org/drawingml/2006/main" prst="ellipse">
          <a:avLst/>
        </a:prstGeom>
        <a:solidFill xmlns:a="http://schemas.openxmlformats.org/drawingml/2006/main">
          <a:srgbClr val="FFFFFF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fr-FR" sz="1100"/>
        </a:p>
      </cdr:txBody>
    </cdr:sp>
  </cdr:relSizeAnchor>
  <cdr:relSizeAnchor xmlns:cdr="http://schemas.openxmlformats.org/drawingml/2006/chartDrawing">
    <cdr:from>
      <cdr:x>0.25235</cdr:x>
      <cdr:y>0.27617</cdr:y>
    </cdr:from>
    <cdr:to>
      <cdr:x>0.70984</cdr:x>
      <cdr:y>0.62129</cdr:y>
    </cdr:to>
    <cdr:sp macro="" textlink="">
      <cdr:nvSpPr>
        <cdr:cNvPr id="5" name="ZoneTexte 33"/>
        <cdr:cNvSpPr txBox="1"/>
      </cdr:nvSpPr>
      <cdr:spPr>
        <a:xfrm xmlns:a="http://schemas.openxmlformats.org/drawingml/2006/main">
          <a:off x="515092" y="463305"/>
          <a:ext cx="933824" cy="57896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900" b="1">
              <a:solidFill>
                <a:sysClr val="windowText" lastClr="000000"/>
              </a:solidFill>
              <a:latin typeface="Arial Black" panose="020B0A04020102020204" pitchFamily="34" charset="0"/>
              <a:cs typeface="Arial" panose="020B0604020202020204" pitchFamily="34" charset="0"/>
            </a:rPr>
            <a:t>valeurs</a:t>
          </a:r>
          <a:r>
            <a:rPr lang="fr-FR" sz="900" b="1" baseline="0">
              <a:solidFill>
                <a:sysClr val="windowText" lastClr="000000"/>
              </a:solidFill>
              <a:latin typeface="Arial Black" panose="020B0A04020102020204" pitchFamily="34" charset="0"/>
              <a:cs typeface="Arial" panose="020B0604020202020204" pitchFamily="34" charset="0"/>
            </a:rPr>
            <a:t> des entrées</a:t>
          </a:r>
          <a:r>
            <a:rPr lang="fr-FR" sz="900" b="1">
              <a:solidFill>
                <a:sysClr val="windowText" lastClr="000000"/>
              </a:solidFill>
              <a:latin typeface="Arial Black" panose="020B0A04020102020204" pitchFamily="34" charset="0"/>
              <a:cs typeface="Arial" panose="020B0604020202020204" pitchFamily="34" charset="0"/>
            </a:rPr>
            <a:t> par categorie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0.3723</cdr:x>
      <cdr:y>0.21397</cdr:y>
    </cdr:from>
    <cdr:to>
      <cdr:x>0.76573</cdr:x>
      <cdr:y>0.67042</cdr:y>
    </cdr:to>
    <cdr:sp macro="" textlink="">
      <cdr:nvSpPr>
        <cdr:cNvPr id="4" name="Ellipse 3"/>
        <cdr:cNvSpPr/>
      </cdr:nvSpPr>
      <cdr:spPr>
        <a:xfrm xmlns:a="http://schemas.openxmlformats.org/drawingml/2006/main">
          <a:off x="759930" y="358962"/>
          <a:ext cx="803088" cy="765735"/>
        </a:xfrm>
        <a:prstGeom xmlns:a="http://schemas.openxmlformats.org/drawingml/2006/main" prst="ellipse">
          <a:avLst/>
        </a:prstGeom>
        <a:solidFill xmlns:a="http://schemas.openxmlformats.org/drawingml/2006/main">
          <a:srgbClr val="FFFFFF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fr-FR" sz="1100"/>
        </a:p>
      </cdr:txBody>
    </cdr:sp>
  </cdr:relSizeAnchor>
  <cdr:relSizeAnchor xmlns:cdr="http://schemas.openxmlformats.org/drawingml/2006/chartDrawing">
    <cdr:from>
      <cdr:x>0.368</cdr:x>
      <cdr:y>0.26407</cdr:y>
    </cdr:from>
    <cdr:to>
      <cdr:x>0.84837</cdr:x>
      <cdr:y>0.58596</cdr:y>
    </cdr:to>
    <cdr:sp macro="" textlink="">
      <cdr:nvSpPr>
        <cdr:cNvPr id="6" name="ZoneTexte 33"/>
        <cdr:cNvSpPr txBox="1"/>
      </cdr:nvSpPr>
      <cdr:spPr>
        <a:xfrm xmlns:a="http://schemas.openxmlformats.org/drawingml/2006/main">
          <a:off x="751168" y="443006"/>
          <a:ext cx="980515" cy="54000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900" b="1">
              <a:solidFill>
                <a:sysClr val="windowText" lastClr="000000"/>
              </a:solidFill>
              <a:latin typeface="Arial Black" panose="020B0A04020102020204" pitchFamily="34" charset="0"/>
              <a:cs typeface="Arial" panose="020B0604020202020204" pitchFamily="34" charset="0"/>
            </a:rPr>
            <a:t>total</a:t>
          </a:r>
          <a:r>
            <a:rPr lang="fr-FR" sz="900" b="1" baseline="0">
              <a:solidFill>
                <a:sysClr val="windowText" lastClr="000000"/>
              </a:solidFill>
              <a:latin typeface="Arial Black" panose="020B0A04020102020204" pitchFamily="34" charset="0"/>
              <a:cs typeface="Arial" panose="020B0604020202020204" pitchFamily="34" charset="0"/>
            </a:rPr>
            <a:t> des sorties</a:t>
          </a:r>
          <a:r>
            <a:rPr lang="fr-FR" sz="900" b="1">
              <a:solidFill>
                <a:sysClr val="windowText" lastClr="000000"/>
              </a:solidFill>
              <a:latin typeface="Arial Black" panose="020B0A04020102020204" pitchFamily="34" charset="0"/>
              <a:cs typeface="Arial" panose="020B0604020202020204" pitchFamily="34" charset="0"/>
            </a:rPr>
            <a:t> par categorie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0.2991</cdr:x>
      <cdr:y>0.19727</cdr:y>
    </cdr:from>
    <cdr:to>
      <cdr:x>0.69254</cdr:x>
      <cdr:y>0.65372</cdr:y>
    </cdr:to>
    <cdr:sp macro="" textlink="">
      <cdr:nvSpPr>
        <cdr:cNvPr id="4" name="Ellipse 3"/>
        <cdr:cNvSpPr/>
      </cdr:nvSpPr>
      <cdr:spPr>
        <a:xfrm xmlns:a="http://schemas.openxmlformats.org/drawingml/2006/main">
          <a:off x="610518" y="330947"/>
          <a:ext cx="803088" cy="765735"/>
        </a:xfrm>
        <a:prstGeom xmlns:a="http://schemas.openxmlformats.org/drawingml/2006/main" prst="ellipse">
          <a:avLst/>
        </a:prstGeom>
        <a:solidFill xmlns:a="http://schemas.openxmlformats.org/drawingml/2006/main">
          <a:srgbClr val="FFFFFF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fr-FR" sz="1100"/>
        </a:p>
      </cdr:txBody>
    </cdr:sp>
  </cdr:relSizeAnchor>
  <cdr:relSizeAnchor xmlns:cdr="http://schemas.openxmlformats.org/drawingml/2006/chartDrawing">
    <cdr:from>
      <cdr:x>0.28108</cdr:x>
      <cdr:y>0.25294</cdr:y>
    </cdr:from>
    <cdr:to>
      <cdr:x>0.76144</cdr:x>
      <cdr:y>0.57483</cdr:y>
    </cdr:to>
    <cdr:sp macro="" textlink="">
      <cdr:nvSpPr>
        <cdr:cNvPr id="6" name="ZoneTexte 33"/>
        <cdr:cNvSpPr txBox="1"/>
      </cdr:nvSpPr>
      <cdr:spPr>
        <a:xfrm xmlns:a="http://schemas.openxmlformats.org/drawingml/2006/main">
          <a:off x="573742" y="424330"/>
          <a:ext cx="980515" cy="54000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900" b="1">
              <a:solidFill>
                <a:sysClr val="windowText" lastClr="000000"/>
              </a:solidFill>
              <a:latin typeface="Arial Black" panose="020B0A04020102020204" pitchFamily="34" charset="0"/>
              <a:cs typeface="Arial" panose="020B0604020202020204" pitchFamily="34" charset="0"/>
            </a:rPr>
            <a:t>valeurs</a:t>
          </a:r>
          <a:r>
            <a:rPr lang="fr-FR" sz="900" b="1" baseline="0">
              <a:solidFill>
                <a:sysClr val="windowText" lastClr="000000"/>
              </a:solidFill>
              <a:latin typeface="Arial Black" panose="020B0A04020102020204" pitchFamily="34" charset="0"/>
              <a:cs typeface="Arial" panose="020B0604020202020204" pitchFamily="34" charset="0"/>
            </a:rPr>
            <a:t> des sorties</a:t>
          </a:r>
          <a:r>
            <a:rPr lang="fr-FR" sz="900" b="1">
              <a:solidFill>
                <a:sysClr val="windowText" lastClr="000000"/>
              </a:solidFill>
              <a:latin typeface="Arial Black" panose="020B0A04020102020204" pitchFamily="34" charset="0"/>
              <a:cs typeface="Arial" panose="020B0604020202020204" pitchFamily="34" charset="0"/>
            </a:rPr>
            <a:t> par categorie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690988</xdr:colOff>
      <xdr:row>9</xdr:row>
      <xdr:rowOff>145773</xdr:rowOff>
    </xdr:from>
    <xdr:to>
      <xdr:col>5</xdr:col>
      <xdr:colOff>1410988</xdr:colOff>
      <xdr:row>11</xdr:row>
      <xdr:rowOff>26712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84905012-F30E-45E8-B91E-98B0FB63AAFA}"/>
            </a:ext>
          </a:extLst>
        </xdr:cNvPr>
        <xdr:cNvSpPr/>
      </xdr:nvSpPr>
      <xdr:spPr>
        <a:xfrm>
          <a:off x="6581579" y="2252869"/>
          <a:ext cx="720000" cy="252000"/>
        </a:xfrm>
        <a:prstGeom prst="roundRect">
          <a:avLst/>
        </a:prstGeom>
        <a:solidFill>
          <a:srgbClr val="51459E"/>
        </a:solidFill>
        <a:ln>
          <a:noFill/>
        </a:ln>
        <a:effectLst>
          <a:glow rad="38100">
            <a:srgbClr val="51459E">
              <a:alpha val="33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 spc="110" baseline="0"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Ajouter</a:t>
          </a:r>
        </a:p>
      </xdr:txBody>
    </xdr:sp>
    <xdr:clientData/>
  </xdr:twoCellAnchor>
  <xdr:twoCellAnchor>
    <xdr:from>
      <xdr:col>4</xdr:col>
      <xdr:colOff>1179444</xdr:colOff>
      <xdr:row>9</xdr:row>
      <xdr:rowOff>145773</xdr:rowOff>
    </xdr:from>
    <xdr:to>
      <xdr:col>5</xdr:col>
      <xdr:colOff>527844</xdr:colOff>
      <xdr:row>11</xdr:row>
      <xdr:rowOff>26712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2901793D-7FE0-4780-89AE-DB69CF8F3EAF}"/>
            </a:ext>
          </a:extLst>
        </xdr:cNvPr>
        <xdr:cNvSpPr/>
      </xdr:nvSpPr>
      <xdr:spPr>
        <a:xfrm>
          <a:off x="5698435" y="2252869"/>
          <a:ext cx="720000" cy="252000"/>
        </a:xfrm>
        <a:prstGeom prst="roundRect">
          <a:avLst/>
        </a:prstGeom>
        <a:solidFill>
          <a:srgbClr val="FAFAFA"/>
        </a:solidFill>
        <a:ln>
          <a:noFill/>
        </a:ln>
        <a:effectLst>
          <a:glow rad="38100">
            <a:schemeClr val="bg1">
              <a:lumMod val="50000"/>
              <a:alpha val="3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900" b="1" i="0" u="none" strike="noStrike" kern="0" cap="none" spc="11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Annuler</a:t>
          </a:r>
          <a:endParaRPr lang="fr-FR" sz="900" b="1">
            <a:solidFill>
              <a:schemeClr val="tx1"/>
            </a:solidFill>
            <a:latin typeface="Gilroy-Bold" panose="00000800000000000000" pitchFamily="2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596900</xdr:colOff>
      <xdr:row>10</xdr:row>
      <xdr:rowOff>69850</xdr:rowOff>
    </xdr:from>
    <xdr:to>
      <xdr:col>13</xdr:col>
      <xdr:colOff>139700</xdr:colOff>
      <xdr:row>18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atégorie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80700" y="1911350"/>
              <a:ext cx="1828800" cy="1536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2</xdr:col>
      <xdr:colOff>241300</xdr:colOff>
      <xdr:row>0</xdr:row>
      <xdr:rowOff>158750</xdr:rowOff>
    </xdr:from>
    <xdr:to>
      <xdr:col>5</xdr:col>
      <xdr:colOff>349250</xdr:colOff>
      <xdr:row>8</xdr:row>
      <xdr:rowOff>114300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438150</xdr:colOff>
      <xdr:row>13</xdr:row>
      <xdr:rowOff>12700</xdr:rowOff>
    </xdr:from>
    <xdr:to>
      <xdr:col>8</xdr:col>
      <xdr:colOff>641350</xdr:colOff>
      <xdr:row>20</xdr:row>
      <xdr:rowOff>177800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577850</xdr:colOff>
      <xdr:row>19</xdr:row>
      <xdr:rowOff>69850</xdr:rowOff>
    </xdr:from>
    <xdr:to>
      <xdr:col>8</xdr:col>
      <xdr:colOff>31750</xdr:colOff>
      <xdr:row>28</xdr:row>
      <xdr:rowOff>0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298450</xdr:colOff>
      <xdr:row>25</xdr:row>
      <xdr:rowOff>168275</xdr:rowOff>
    </xdr:from>
    <xdr:to>
      <xdr:col>7</xdr:col>
      <xdr:colOff>215900</xdr:colOff>
      <xdr:row>35</xdr:row>
      <xdr:rowOff>31750</xdr:rowOff>
    </xdr:to>
    <xdr:graphicFrame macro="">
      <xdr:nvGraphicFramePr>
        <xdr:cNvPr id="6" name="Graphique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44450</xdr:colOff>
      <xdr:row>38</xdr:row>
      <xdr:rowOff>107950</xdr:rowOff>
    </xdr:from>
    <xdr:to>
      <xdr:col>6</xdr:col>
      <xdr:colOff>222250</xdr:colOff>
      <xdr:row>47</xdr:row>
      <xdr:rowOff>139700</xdr:rowOff>
    </xdr:to>
    <xdr:graphicFrame macro="">
      <xdr:nvGraphicFramePr>
        <xdr:cNvPr id="7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317500</xdr:colOff>
      <xdr:row>37</xdr:row>
      <xdr:rowOff>120650</xdr:rowOff>
    </xdr:from>
    <xdr:to>
      <xdr:col>11</xdr:col>
      <xdr:colOff>571500</xdr:colOff>
      <xdr:row>47</xdr:row>
      <xdr:rowOff>38100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352425</xdr:colOff>
      <xdr:row>49</xdr:row>
      <xdr:rowOff>88900</xdr:rowOff>
    </xdr:from>
    <xdr:to>
      <xdr:col>13</xdr:col>
      <xdr:colOff>342900</xdr:colOff>
      <xdr:row>58</xdr:row>
      <xdr:rowOff>161924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133348</xdr:colOff>
      <xdr:row>62</xdr:row>
      <xdr:rowOff>146049</xdr:rowOff>
    </xdr:from>
    <xdr:to>
      <xdr:col>13</xdr:col>
      <xdr:colOff>175348</xdr:colOff>
      <xdr:row>71</xdr:row>
      <xdr:rowOff>87099</xdr:rowOff>
    </xdr:to>
    <xdr:graphicFrame macro="">
      <xdr:nvGraphicFramePr>
        <xdr:cNvPr id="10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533399</xdr:colOff>
      <xdr:row>71</xdr:row>
      <xdr:rowOff>88900</xdr:rowOff>
    </xdr:from>
    <xdr:to>
      <xdr:col>11</xdr:col>
      <xdr:colOff>304800</xdr:colOff>
      <xdr:row>79</xdr:row>
      <xdr:rowOff>133350</xdr:rowOff>
    </xdr:to>
    <xdr:graphicFrame macro="">
      <xdr:nvGraphicFramePr>
        <xdr:cNvPr id="12" name="Graphique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520700</xdr:colOff>
      <xdr:row>80</xdr:row>
      <xdr:rowOff>107949</xdr:rowOff>
    </xdr:from>
    <xdr:to>
      <xdr:col>12</xdr:col>
      <xdr:colOff>562700</xdr:colOff>
      <xdr:row>89</xdr:row>
      <xdr:rowOff>48999</xdr:rowOff>
    </xdr:to>
    <xdr:graphicFrame macro="">
      <xdr:nvGraphicFramePr>
        <xdr:cNvPr id="13" name="Graphique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704849</xdr:colOff>
      <xdr:row>85</xdr:row>
      <xdr:rowOff>101599</xdr:rowOff>
    </xdr:from>
    <xdr:to>
      <xdr:col>9</xdr:col>
      <xdr:colOff>441324</xdr:colOff>
      <xdr:row>92</xdr:row>
      <xdr:rowOff>149224</xdr:rowOff>
    </xdr:to>
    <xdr:graphicFrame macro="">
      <xdr:nvGraphicFramePr>
        <xdr:cNvPr id="14" name="Graphique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882650</xdr:colOff>
      <xdr:row>9</xdr:row>
      <xdr:rowOff>69851</xdr:rowOff>
    </xdr:from>
    <xdr:to>
      <xdr:col>4</xdr:col>
      <xdr:colOff>565150</xdr:colOff>
      <xdr:row>17</xdr:row>
      <xdr:rowOff>114301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Référence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éférenc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29000" y="1727201"/>
              <a:ext cx="1828800" cy="1517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946150</xdr:colOff>
      <xdr:row>4</xdr:row>
      <xdr:rowOff>31751</xdr:rowOff>
    </xdr:from>
    <xdr:to>
      <xdr:col>7</xdr:col>
      <xdr:colOff>457200</xdr:colOff>
      <xdr:row>11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moi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23000" y="768351"/>
              <a:ext cx="1828800" cy="12572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P" refreshedDate="45501.504085995373" createdVersion="6" refreshedVersion="6" minRefreshableVersion="3" recordCount="11">
  <cacheSource type="worksheet">
    <worksheetSource name="listeInventaire"/>
  </cacheSource>
  <cacheFields count="12">
    <cacheField name="Référence" numFmtId="0">
      <sharedItems/>
    </cacheField>
    <cacheField name="Désignation" numFmtId="0">
      <sharedItems count="9">
        <s v="GOOGLE PIXEL 5"/>
        <s v="IPHONE 13 PRO"/>
        <s v="Oreo"/>
        <s v="Réfrigérateur WHIRLPOOL"/>
        <s v="Réfrigérateur SIERA"/>
        <s v="Cuisinière SIERA"/>
        <s v="Cuisinière CANDY"/>
        <s v="PLAYSTATION PS5 "/>
        <s v="NINTENDO SWITCH"/>
      </sharedItems>
    </cacheField>
    <cacheField name="Catégorie" numFmtId="0">
      <sharedItems count="4">
        <s v="SmartPhone"/>
        <s v="Biscuits "/>
        <s v="Electro"/>
        <s v="Consoles"/>
      </sharedItems>
    </cacheField>
    <cacheField name="Unité" numFmtId="0">
      <sharedItems/>
    </cacheField>
    <cacheField name="Seuil d'alerte" numFmtId="0">
      <sharedItems containsSemiMixedTypes="0" containsString="0" containsNumber="1" containsInteger="1" minValue="10" maxValue="50"/>
    </cacheField>
    <cacheField name="Stock initial" numFmtId="0">
      <sharedItems containsSemiMixedTypes="0" containsString="0" containsNumber="1" containsInteger="1" minValue="0" maxValue="20"/>
    </cacheField>
    <cacheField name="Entrées" numFmtId="0">
      <sharedItems containsSemiMixedTypes="0" containsString="0" containsNumber="1" containsInteger="1" minValue="24" maxValue="320"/>
    </cacheField>
    <cacheField name="Sorties" numFmtId="0">
      <sharedItems containsSemiMixedTypes="0" containsString="0" containsNumber="1" containsInteger="1" minValue="21" maxValue="195"/>
    </cacheField>
    <cacheField name="Stock final" numFmtId="0">
      <sharedItems containsSemiMixedTypes="0" containsString="0" containsNumber="1" containsInteger="1" minValue="0" maxValue="130"/>
    </cacheField>
    <cacheField name="CUMP" numFmtId="164">
      <sharedItems containsSemiMixedTypes="0" containsString="0" containsNumber="1" minValue="0.20904761904761907" maxValue="1400"/>
    </cacheField>
    <cacheField name="Valeur" numFmtId="164">
      <sharedItems containsSemiMixedTypes="0" containsString="0" containsNumber="1" minValue="0" maxValue="16800"/>
    </cacheField>
    <cacheField name="Statue" numFmtId="0">
      <sharedItems count="3">
        <s v="Stock normal"/>
        <s v="Stock faible"/>
        <s v="Non disponibl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HP" refreshedDate="45501.510666666669" backgroundQuery="1" createdVersion="6" refreshedVersion="6" minRefreshableVersion="3" recordCount="0" supportSubquery="1" supportAdvancedDrill="1">
  <cacheSource type="external" connectionId="1"/>
  <cacheFields count="3">
    <cacheField name="[listeAchats].[Catégorie].[Catégorie]" caption="Catégorie" numFmtId="0" hierarchy="3" level="1">
      <sharedItems count="4">
        <s v="Biscuits"/>
        <s v="Consoles"/>
        <s v="Electro"/>
        <s v="SmartPhone"/>
      </sharedItems>
    </cacheField>
    <cacheField name="[Measures].[Somme de Total]" caption="Somme de Total" numFmtId="0" hierarchy="34" level="32767"/>
    <cacheField name="[Mois].[mois].[mois]" caption="mois" numFmtId="0" hierarchy="23" level="1">
      <sharedItems containsSemiMixedTypes="0" containsNonDate="0" containsString="0"/>
    </cacheField>
  </cacheFields>
  <cacheHierarchies count="37">
    <cacheHierarchy uniqueName="[lesCategories].[Catégorie]" caption="Catégorie" attribute="1" defaultMemberUniqueName="[lesCategories].[Catégorie].[All]" allUniqueName="[lesCategories].[Catégorie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]" caption="Référence" attribute="1" defaultMemberUniqueName="[lesReferences].[Référence].[All]" allUniqueName="[lesReferences].[Référence].[All]" dimensionUniqueName="[lesReference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2" memberValueDatatype="130" unbalanced="0">
      <fieldsUsage count="2">
        <fieldUsage x="-1"/>
        <fieldUsage x="0"/>
      </fieldsUsage>
    </cacheHierarchy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Mois].[mois]" caption="mois" attribute="1" defaultMemberUniqueName="[Mois].[mois].[All]" allUniqueName="[Mois].[mois].[All]" dimensionUniqueName="[Mois]" displayFolder="" count="2" memberValueDatatype="130" unbalanced="0">
      <fieldsUsage count="2">
        <fieldUsage x="-1"/>
        <fieldUsage x="2"/>
      </fieldsUsage>
    </cacheHierarchy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me de Total]" caption="Somme de Total" measure="1" displayFolder="" measureGroup="listeAcha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7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6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2">
    <map measureGroup="0" dimension="0"/>
    <map measureGroup="1" dimension="1"/>
    <map measureGroup="2" dimension="2"/>
    <map measureGroup="3" dimension="0"/>
    <map measureGroup="3" dimension="2"/>
    <map measureGroup="3" dimension="3"/>
    <map measureGroup="3" dimension="6"/>
    <map measureGroup="4" dimension="0"/>
    <map measureGroup="4" dimension="2"/>
    <map measureGroup="4" dimension="4"/>
    <map measureGroup="4" dimension="6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HP" refreshedDate="45501.510667245369" backgroundQuery="1" createdVersion="6" refreshedVersion="6" minRefreshableVersion="3" recordCount="0" supportSubquery="1" supportAdvancedDrill="1">
  <cacheSource type="external" connectionId="1"/>
  <cacheFields count="3">
    <cacheField name="[listeAchats].[Catégorie].[Catégorie]" caption="Catégorie" numFmtId="0" hierarchy="3" level="1">
      <sharedItems count="4">
        <s v="Biscuits"/>
        <s v="Consoles"/>
        <s v="Electro"/>
        <s v="SmartPhone"/>
      </sharedItems>
    </cacheField>
    <cacheField name="[Measures].[Somme de Quantité]" caption="Somme de Quantité" numFmtId="0" hierarchy="33" level="32767"/>
    <cacheField name="[Mois].[mois].[mois]" caption="mois" numFmtId="0" hierarchy="23" level="1">
      <sharedItems containsSemiMixedTypes="0" containsNonDate="0" containsString="0"/>
    </cacheField>
  </cacheFields>
  <cacheHierarchies count="37">
    <cacheHierarchy uniqueName="[lesCategories].[Catégorie]" caption="Catégorie" attribute="1" defaultMemberUniqueName="[lesCategories].[Catégorie].[All]" allUniqueName="[lesCategories].[Catégorie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]" caption="Référence" attribute="1" defaultMemberUniqueName="[lesReferences].[Référence].[All]" allUniqueName="[lesReferences].[Référence].[All]" dimensionUniqueName="[lesReference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2" memberValueDatatype="130" unbalanced="0">
      <fieldsUsage count="2">
        <fieldUsage x="-1"/>
        <fieldUsage x="0"/>
      </fieldsUsage>
    </cacheHierarchy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Mois].[mois]" caption="mois" attribute="1" defaultMemberUniqueName="[Mois].[mois].[All]" allUniqueName="[Mois].[mois].[All]" dimensionUniqueName="[Mois]" displayFolder="" count="2" memberValueDatatype="130" unbalanced="0">
      <fieldsUsage count="2">
        <fieldUsage x="-1"/>
        <fieldUsage x="2"/>
      </fieldsUsage>
    </cacheHierarchy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7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6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2">
    <map measureGroup="0" dimension="0"/>
    <map measureGroup="1" dimension="1"/>
    <map measureGroup="2" dimension="2"/>
    <map measureGroup="3" dimension="0"/>
    <map measureGroup="3" dimension="2"/>
    <map measureGroup="3" dimension="3"/>
    <map measureGroup="3" dimension="6"/>
    <map measureGroup="4" dimension="0"/>
    <map measureGroup="4" dimension="2"/>
    <map measureGroup="4" dimension="4"/>
    <map measureGroup="4" dimension="6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HP" refreshedDate="45501.510667824077" backgroundQuery="1" createdVersion="6" refreshedVersion="6" minRefreshableVersion="3" recordCount="0" supportSubquery="1" supportAdvancedDrill="1">
  <cacheSource type="external" connectionId="1"/>
  <cacheFields count="3">
    <cacheField name="[listeVentes].[Catégorie].[Catégorie]" caption="Catégorie" numFmtId="0" hierarchy="13" level="1">
      <sharedItems count="4">
        <s v="Biscuits"/>
        <s v="Consoles"/>
        <s v="Electro"/>
        <s v="SmartPhone"/>
      </sharedItems>
    </cacheField>
    <cacheField name="[Measures].[Somme de Total 2]" caption="Somme de Total 2" numFmtId="0" hierarchy="35" level="32767"/>
    <cacheField name="[Mois].[mois].[mois]" caption="mois" numFmtId="0" hierarchy="23" level="1">
      <sharedItems containsSemiMixedTypes="0" containsNonDate="0" containsString="0"/>
    </cacheField>
  </cacheFields>
  <cacheHierarchies count="37">
    <cacheHierarchy uniqueName="[lesCategories].[Catégorie]" caption="Catégorie" attribute="1" defaultMemberUniqueName="[lesCategories].[Catégorie].[All]" allUniqueName="[lesCategories].[Catégorie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]" caption="Référence" attribute="1" defaultMemberUniqueName="[lesReferences].[Référence].[All]" allUniqueName="[lesReferences].[Référence].[All]" dimensionUniqueName="[lesReference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2" memberValueDatatype="130" unbalanced="0">
      <fieldsUsage count="2">
        <fieldUsage x="-1"/>
        <fieldUsage x="0"/>
      </fieldsUsage>
    </cacheHierarchy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Mois].[mois]" caption="mois" attribute="1" defaultMemberUniqueName="[Mois].[mois].[All]" allUniqueName="[Mois].[mois].[All]" dimensionUniqueName="[Mois]" displayFolder="" count="2" memberValueDatatype="130" unbalanced="0">
      <fieldsUsage count="2">
        <fieldUsage x="-1"/>
        <fieldUsage x="2"/>
      </fieldsUsage>
    </cacheHierarchy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7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6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2">
    <map measureGroup="0" dimension="0"/>
    <map measureGroup="1" dimension="1"/>
    <map measureGroup="2" dimension="2"/>
    <map measureGroup="3" dimension="0"/>
    <map measureGroup="3" dimension="2"/>
    <map measureGroup="3" dimension="3"/>
    <map measureGroup="3" dimension="6"/>
    <map measureGroup="4" dimension="0"/>
    <map measureGroup="4" dimension="2"/>
    <map measureGroup="4" dimension="4"/>
    <map measureGroup="4" dimension="6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HP" refreshedDate="45501.510668518516" backgroundQuery="1" createdVersion="6" refreshedVersion="6" minRefreshableVersion="3" recordCount="0" supportSubquery="1" supportAdvancedDrill="1">
  <cacheSource type="external" connectionId="1"/>
  <cacheFields count="3">
    <cacheField name="[listeVentes].[Catégorie].[Catégorie]" caption="Catégorie" numFmtId="0" hierarchy="13" level="1">
      <sharedItems count="4">
        <s v="Biscuits"/>
        <s v="Consoles"/>
        <s v="Electro"/>
        <s v="SmartPhone"/>
      </sharedItems>
    </cacheField>
    <cacheField name="[Measures].[Somme de Quantité 2]" caption="Somme de Quantité 2" numFmtId="0" hierarchy="36" level="32767"/>
    <cacheField name="[Mois].[mois].[mois]" caption="mois" numFmtId="0" hierarchy="23" level="1">
      <sharedItems containsSemiMixedTypes="0" containsNonDate="0" containsString="0"/>
    </cacheField>
  </cacheFields>
  <cacheHierarchies count="37">
    <cacheHierarchy uniqueName="[lesCategories].[Catégorie]" caption="Catégorie" attribute="1" defaultMemberUniqueName="[lesCategories].[Catégorie].[All]" allUniqueName="[lesCategories].[Catégorie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]" caption="Référence" attribute="1" defaultMemberUniqueName="[lesReferences].[Référence].[All]" allUniqueName="[lesReferences].[Référence].[All]" dimensionUniqueName="[lesReference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2" memberValueDatatype="130" unbalanced="0">
      <fieldsUsage count="2">
        <fieldUsage x="-1"/>
        <fieldUsage x="0"/>
      </fieldsUsage>
    </cacheHierarchy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Mois].[mois]" caption="mois" attribute="1" defaultMemberUniqueName="[Mois].[mois].[All]" allUniqueName="[Mois].[mois].[All]" dimensionUniqueName="[Mois]" displayFolder="" count="2" memberValueDatatype="130" unbalanced="0">
      <fieldsUsage count="2">
        <fieldUsage x="-1"/>
        <fieldUsage x="2"/>
      </fieldsUsage>
    </cacheHierarchy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7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6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2">
    <map measureGroup="0" dimension="0"/>
    <map measureGroup="1" dimension="1"/>
    <map measureGroup="2" dimension="2"/>
    <map measureGroup="3" dimension="0"/>
    <map measureGroup="3" dimension="2"/>
    <map measureGroup="3" dimension="3"/>
    <map measureGroup="3" dimension="6"/>
    <map measureGroup="4" dimension="0"/>
    <map measureGroup="4" dimension="2"/>
    <map measureGroup="4" dimension="4"/>
    <map measureGroup="4" dimension="6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HP" refreshedDate="45501.510669444448" backgroundQuery="1" createdVersion="6" refreshedVersion="6" minRefreshableVersion="3" recordCount="0" supportSubquery="1" supportAdvancedDrill="1">
  <cacheSource type="external" connectionId="1"/>
  <cacheFields count="3">
    <cacheField name="[listeVentes].[Désignation].[Désignation]" caption="Désignation" numFmtId="0" hierarchy="16" level="1">
      <sharedItems count="3">
        <s v="Cuisinière CANDY"/>
        <s v="GOOGLE PIXEL 5"/>
        <s v="IPHONE 13 PRO"/>
      </sharedItems>
    </cacheField>
    <cacheField name="[Measures].[Somme de Total 2]" caption="Somme de Total 2" numFmtId="0" hierarchy="35" level="32767"/>
    <cacheField name="[Mois].[mois].[mois]" caption="mois" numFmtId="0" hierarchy="23" level="1">
      <sharedItems containsSemiMixedTypes="0" containsNonDate="0" containsString="0"/>
    </cacheField>
  </cacheFields>
  <cacheHierarchies count="37">
    <cacheHierarchy uniqueName="[lesCategories].[Catégorie]" caption="Catégorie" attribute="1" defaultMemberUniqueName="[lesCategories].[Catégorie].[All]" allUniqueName="[lesCategories].[Catégorie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]" caption="Référence" attribute="1" defaultMemberUniqueName="[lesReferences].[Référence].[All]" allUniqueName="[lesReferences].[Référence].[All]" dimensionUniqueName="[lesReference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2" memberValueDatatype="130" unbalanced="0">
      <fieldsUsage count="2">
        <fieldUsage x="-1"/>
        <fieldUsage x="0"/>
      </fieldsUsage>
    </cacheHierarchy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Mois].[mois]" caption="mois" attribute="1" defaultMemberUniqueName="[Mois].[mois].[All]" allUniqueName="[Mois].[mois].[All]" dimensionUniqueName="[Mois]" displayFolder="" count="2" memberValueDatatype="130" unbalanced="0">
      <fieldsUsage count="2">
        <fieldUsage x="-1"/>
        <fieldUsage x="2"/>
      </fieldsUsage>
    </cacheHierarchy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7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6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2">
    <map measureGroup="0" dimension="0"/>
    <map measureGroup="1" dimension="1"/>
    <map measureGroup="2" dimension="2"/>
    <map measureGroup="3" dimension="0"/>
    <map measureGroup="3" dimension="2"/>
    <map measureGroup="3" dimension="3"/>
    <map measureGroup="3" dimension="6"/>
    <map measureGroup="4" dimension="0"/>
    <map measureGroup="4" dimension="2"/>
    <map measureGroup="4" dimension="4"/>
    <map measureGroup="4" dimension="6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refreshedBy="HP" refreshedDate="45501.510696874997" backgroundQuery="1" createdVersion="6" refreshedVersion="6" minRefreshableVersion="3" recordCount="0" supportSubquery="1" supportAdvancedDrill="1">
  <cacheSource type="external" connectionId="1"/>
  <cacheFields count="3">
    <cacheField name="[Measures].[Somme de Quantité]" caption="Somme de Quantité" numFmtId="0" hierarchy="33" level="32767"/>
    <cacheField name="[Measures].[Somme de Total]" caption="Somme de Total" numFmtId="0" hierarchy="34" level="32767"/>
    <cacheField name="[lesReferences].[Référence].[Référence]" caption="Référence" numFmtId="0" hierarchy="2" level="1">
      <sharedItems containsSemiMixedTypes="0" containsNonDate="0" containsString="0"/>
    </cacheField>
  </cacheFields>
  <cacheHierarchies count="37">
    <cacheHierarchy uniqueName="[lesCategories].[Catégorie]" caption="Catégorie" attribute="1" defaultMemberUniqueName="[lesCategories].[Catégorie].[All]" allUniqueName="[lesCategories].[Catégorie].[All]" dimensionUniqueName="[lesCategories]" displayFolder="" count="2" memberValueDatatype="130" unbalanced="0"/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]" caption="Référence" attribute="1" defaultMemberUniqueName="[lesReferences].[Référence].[All]" allUniqueName="[lesReferences].[Référence].[All]" dimensionUniqueName="[lesReferences]" displayFolder="" count="2" memberValueDatatype="130" unbalanced="0">
      <fieldsUsage count="2">
        <fieldUsage x="-1"/>
        <fieldUsage x="2"/>
      </fieldsUsage>
    </cacheHierarchy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Mois].[mois]" caption="mois" attribute="1" defaultMemberUniqueName="[Mois].[mois].[All]" allUniqueName="[Mois].[mois].[All]" dimensionUniqueName="[Mois]" displayFolder="" count="2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me de Total]" caption="Somme de Total" measure="1" displayFolder="" measureGroup="listeAcha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7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6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2">
    <map measureGroup="0" dimension="0"/>
    <map measureGroup="1" dimension="1"/>
    <map measureGroup="2" dimension="2"/>
    <map measureGroup="3" dimension="0"/>
    <map measureGroup="3" dimension="2"/>
    <map measureGroup="3" dimension="3"/>
    <map measureGroup="3" dimension="6"/>
    <map measureGroup="4" dimension="0"/>
    <map measureGroup="4" dimension="2"/>
    <map measureGroup="4" dimension="4"/>
    <map measureGroup="4" dimension="6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saveData="0" refreshedBy="HP" refreshedDate="45501.510697337966" backgroundQuery="1" createdVersion="6" refreshedVersion="6" minRefreshableVersion="3" recordCount="0" supportSubquery="1" supportAdvancedDrill="1">
  <cacheSource type="external" connectionId="1"/>
  <cacheFields count="3">
    <cacheField name="[Measures].[Somme de Quantité 2]" caption="Somme de Quantité 2" numFmtId="0" hierarchy="36" level="32767"/>
    <cacheField name="[Measures].[Somme de Total 2]" caption="Somme de Total 2" numFmtId="0" hierarchy="35" level="32767"/>
    <cacheField name="[lesReferences].[Référence].[Référence]" caption="Référence" numFmtId="0" hierarchy="2" level="1">
      <sharedItems containsSemiMixedTypes="0" containsNonDate="0" containsString="0"/>
    </cacheField>
  </cacheFields>
  <cacheHierarchies count="37">
    <cacheHierarchy uniqueName="[lesCategories].[Catégorie]" caption="Catégorie" attribute="1" defaultMemberUniqueName="[lesCategories].[Catégorie].[All]" allUniqueName="[lesCategories].[Catégorie].[All]" dimensionUniqueName="[lesCategories]" displayFolder="" count="2" memberValueDatatype="130" unbalanced="0"/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]" caption="Référence" attribute="1" defaultMemberUniqueName="[lesReferences].[Référence].[All]" allUniqueName="[lesReferences].[Référence].[All]" dimensionUniqueName="[lesReferences]" displayFolder="" count="2" memberValueDatatype="130" unbalanced="0">
      <fieldsUsage count="2">
        <fieldUsage x="-1"/>
        <fieldUsage x="2"/>
      </fieldsUsage>
    </cacheHierarchy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Mois].[mois]" caption="mois" attribute="1" defaultMemberUniqueName="[Mois].[mois].[All]" allUniqueName="[Mois].[mois].[All]" dimensionUniqueName="[Mois]" displayFolder="" count="2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7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6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2">
    <map measureGroup="0" dimension="0"/>
    <map measureGroup="1" dimension="1"/>
    <map measureGroup="2" dimension="2"/>
    <map measureGroup="3" dimension="0"/>
    <map measureGroup="3" dimension="2"/>
    <map measureGroup="3" dimension="3"/>
    <map measureGroup="3" dimension="6"/>
    <map measureGroup="4" dimension="0"/>
    <map measureGroup="4" dimension="2"/>
    <map measureGroup="4" dimension="4"/>
    <map measureGroup="4" dimension="6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saveData="0" refreshedBy="HP" refreshedDate="45501.510698032405" backgroundQuery="1" createdVersion="6" refreshedVersion="6" minRefreshableVersion="3" recordCount="0" supportSubquery="1" supportAdvancedDrill="1">
  <cacheSource type="external" connectionId="1"/>
  <cacheFields count="5">
    <cacheField name="[listeAchats].[Date].[Date]" caption="Date" numFmtId="0" hierarchy="5" level="1">
      <sharedItems containsSemiMixedTypes="0" containsNonDate="0" containsDate="1" containsString="0" count="34">
        <d v="2022-01-01T00:00:00"/>
        <d v="2022-01-02T00:00:00"/>
        <d v="2022-01-05T00:00:00"/>
        <d v="2022-01-16T00:00:00"/>
        <d v="2022-01-20T00:00:00"/>
        <d v="2022-01-22T00:00:00"/>
        <d v="2022-01-25T00:00:00"/>
        <d v="2022-02-01T00:00:00"/>
        <d v="2022-02-02T00:00:00"/>
        <d v="2022-02-03T00:00:00"/>
        <d v="2022-02-05T00:00:00"/>
        <d v="2022-02-10T00:00:00"/>
        <d v="2022-02-15T00:00:00"/>
        <d v="2022-02-25T00:00:00"/>
        <d v="2022-02-26T00:00:00"/>
        <d v="2022-03-02T00:00:00"/>
        <d v="2022-03-03T00:00:00"/>
        <d v="2022-03-05T00:00:00"/>
        <d v="2022-03-06T00:00:00"/>
        <d v="2022-03-20T00:00:00"/>
        <d v="2022-03-26T00:00:00"/>
        <d v="2022-04-03T00:00:00"/>
        <d v="2022-04-04T00:00:00"/>
        <d v="2022-04-05T00:00:00"/>
        <d v="2022-04-06T00:00:00"/>
        <d v="2022-04-25T00:00:00"/>
        <d v="2022-05-02T00:00:00"/>
        <d v="2022-05-04T00:00:00"/>
        <d v="2022-05-05T00:00:00"/>
        <d v="2022-05-06T00:00:00"/>
        <d v="2022-05-08T00:00:00"/>
        <d v="2022-05-09T00:00:00"/>
        <d v="2022-05-17T00:00:00"/>
        <d v="2022-05-22T00:00:00"/>
      </sharedItems>
    </cacheField>
    <cacheField name="[listeAchats].[Date (mois)].[Date (mois)]" caption="Date (mois)" numFmtId="0" hierarchy="6" level="1">
      <sharedItems count="5">
        <s v="janv"/>
        <s v="févr"/>
        <s v="mars"/>
        <s v="avr"/>
        <s v="mai"/>
      </sharedItems>
    </cacheField>
    <cacheField name="[Measures].[Somme de Quantité]" caption="Somme de Quantité" numFmtId="0" hierarchy="33" level="32767"/>
    <cacheField name="[lesReferences].[Référence].[Référence]" caption="Référence" numFmtId="0" hierarchy="2" level="1">
      <sharedItems containsSemiMixedTypes="0" containsNonDate="0" containsString="0"/>
    </cacheField>
    <cacheField name="Dummy0" numFmtId="0" hierarchy="37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38">
    <cacheHierarchy uniqueName="[lesCategories].[Catégorie]" caption="Catégorie" attribute="1" defaultMemberUniqueName="[lesCategories].[Catégorie].[All]" allUniqueName="[lesCategories].[Catégorie].[All]" dimensionUniqueName="[lesCategories]" displayFolder="" count="2" memberValueDatatype="130" unbalanced="0"/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]" caption="Référence" attribute="1" defaultMemberUniqueName="[lesReferences].[Référence].[All]" allUniqueName="[lesReferences].[Référence].[All]" dimensionUniqueName="[lesReferences]" displayFolder="" count="2" memberValueDatatype="130" unbalanced="0">
      <fieldsUsage count="2">
        <fieldUsage x="-1"/>
        <fieldUsage x="3"/>
      </fieldsUsage>
    </cacheHierarchy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Date]" caption="Date" attribute="1" time="1" defaultMemberUniqueName="[listeAchats].[Date].[All]" allUniqueName="[listeAchats].[Date].[All]" dimensionUniqueName="[listeAchats]" displayFolder="" count="2" memberValueDatatype="7" unbalanced="0">
      <fieldsUsage count="2">
        <fieldUsage x="-1"/>
        <fieldUsage x="0"/>
      </fieldsUsage>
    </cacheHierarchy>
    <cacheHierarchy uniqueName="[listeAchats].[Date (mois)]" caption="Date (mois)" attribute="1" defaultMemberUniqueName="[listeAchats].[Date (mois)].[All]" allUniqueName="[listeAchats].[Date (mois)].[All]" dimensionUniqueName="[listeAchats]" displayFolder="" count="2" memberValueDatatype="130" unbalanced="0">
      <fieldsUsage count="2">
        <fieldUsage x="-1"/>
        <fieldUsage x="1"/>
      </fieldsUsage>
    </cacheHierarchy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Mois].[mois]" caption="mois" attribute="1" defaultMemberUniqueName="[Mois].[mois].[All]" allUniqueName="[Mois].[mois].[All]" dimensionUniqueName="[Moi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Dummy0" caption="Catégorie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7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6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2">
    <map measureGroup="0" dimension="0"/>
    <map measureGroup="1" dimension="1"/>
    <map measureGroup="2" dimension="2"/>
    <map measureGroup="3" dimension="0"/>
    <map measureGroup="3" dimension="2"/>
    <map measureGroup="3" dimension="3"/>
    <map measureGroup="3" dimension="6"/>
    <map measureGroup="4" dimension="0"/>
    <map measureGroup="4" dimension="2"/>
    <map measureGroup="4" dimension="4"/>
    <map measureGroup="4" dimension="6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saveData="0" refreshedBy="HP" refreshedDate="45501.510698495367" backgroundQuery="1" createdVersion="6" refreshedVersion="6" minRefreshableVersion="3" recordCount="0" supportSubquery="1" supportAdvancedDrill="1">
  <cacheSource type="external" connectionId="1"/>
  <cacheFields count="4">
    <cacheField name="[listeVentes].[Date].[Date]" caption="Date" numFmtId="0" hierarchy="14" level="1">
      <sharedItems containsSemiMixedTypes="0" containsNonDate="0" containsDate="1" containsString="0" count="37">
        <d v="2022-01-01T00:00:00"/>
        <d v="2022-01-02T00:00:00"/>
        <d v="2022-01-06T00:00:00"/>
        <d v="2022-01-10T00:00:00"/>
        <d v="2022-01-17T00:00:00"/>
        <d v="2022-01-21T00:00:00"/>
        <d v="2022-01-23T00:00:00"/>
        <d v="2022-01-26T00:00:00"/>
        <d v="2022-02-02T00:00:00"/>
        <d v="2022-02-03T00:00:00"/>
        <d v="2022-02-05T00:00:00"/>
        <d v="2022-02-06T00:00:00"/>
        <d v="2022-02-09T00:00:00"/>
        <d v="2022-02-20T00:00:00"/>
        <d v="2022-02-22T00:00:00"/>
        <d v="2022-03-03T00:00:00"/>
        <d v="2022-03-04T00:00:00"/>
        <d v="2022-03-05T00:00:00"/>
        <d v="2022-03-06T00:00:00"/>
        <d v="2022-03-09T00:00:00"/>
        <d v="2022-03-26T00:00:00"/>
        <d v="2022-04-01T00:00:00"/>
        <d v="2022-04-04T00:00:00"/>
        <d v="2022-04-05T00:00:00"/>
        <d v="2022-04-09T00:00:00"/>
        <d v="2022-04-11T00:00:00"/>
        <d v="2022-04-19T00:00:00"/>
        <d v="2022-04-21T00:00:00"/>
        <d v="2022-04-22T00:00:00"/>
        <d v="2022-05-03T00:00:00"/>
        <d v="2022-05-04T00:00:00"/>
        <d v="2022-05-05T00:00:00"/>
        <d v="2022-05-06T00:00:00"/>
        <d v="2022-05-08T00:00:00"/>
        <d v="2022-05-15T00:00:00"/>
        <d v="2022-05-17T00:00:00"/>
        <d v="2022-05-22T00:00:00"/>
      </sharedItems>
    </cacheField>
    <cacheField name="[listeVentes].[Date (mois)].[Date (mois)]" caption="Date (mois)" numFmtId="0" hierarchy="15" level="1">
      <sharedItems count="5">
        <s v="janv"/>
        <s v="févr"/>
        <s v="mars"/>
        <s v="avr"/>
        <s v="mai"/>
      </sharedItems>
    </cacheField>
    <cacheField name="[Measures].[Somme de Quantité 2]" caption="Somme de Quantité 2" numFmtId="0" hierarchy="36" level="32767"/>
    <cacheField name="[lesReferences].[Référence].[Référence]" caption="Référence" numFmtId="0" hierarchy="2" level="1">
      <sharedItems containsSemiMixedTypes="0" containsNonDate="0" containsString="0"/>
    </cacheField>
  </cacheFields>
  <cacheHierarchies count="37">
    <cacheHierarchy uniqueName="[lesCategories].[Catégorie]" caption="Catégorie" attribute="1" defaultMemberUniqueName="[lesCategories].[Catégorie].[All]" allUniqueName="[lesCategories].[Catégorie].[All]" dimensionUniqueName="[lesCategories]" displayFolder="" count="2" memberValueDatatype="130" unbalanced="0"/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]" caption="Référence" attribute="1" defaultMemberUniqueName="[lesReferences].[Référence].[All]" allUniqueName="[lesReferences].[Référence].[All]" dimensionUniqueName="[lesReferences]" displayFolder="" count="2" memberValueDatatype="130" unbalanced="0">
      <fieldsUsage count="2">
        <fieldUsage x="-1"/>
        <fieldUsage x="3"/>
      </fieldsUsage>
    </cacheHierarchy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Date]" caption="Date" attribute="1" time="1" defaultMemberUniqueName="[listeVentes].[Date].[All]" allUniqueName="[listeVentes].[Date].[All]" dimensionUniqueName="[listeVentes]" displayFolder="" count="2" memberValueDatatype="7" unbalanced="0">
      <fieldsUsage count="2">
        <fieldUsage x="-1"/>
        <fieldUsage x="0"/>
      </fieldsUsage>
    </cacheHierarchy>
    <cacheHierarchy uniqueName="[listeVentes].[Date (mois)]" caption="Date (mois)" attribute="1" defaultMemberUniqueName="[listeVentes].[Date (mois)].[All]" allUniqueName="[listeVentes].[Date (mois)].[All]" dimensionUniqueName="[listeVentes]" displayFolder="" count="2" memberValueDatatype="130" unbalanced="0">
      <fieldsUsage count="2">
        <fieldUsage x="-1"/>
        <fieldUsage x="1"/>
      </fieldsUsage>
    </cacheHierarchy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Mois].[mois]" caption="mois" attribute="1" defaultMemberUniqueName="[Mois].[mois].[All]" allUniqueName="[Mois].[mois].[All]" dimensionUniqueName="[Moi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7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6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2">
    <map measureGroup="0" dimension="0"/>
    <map measureGroup="1" dimension="1"/>
    <map measureGroup="2" dimension="2"/>
    <map measureGroup="3" dimension="0"/>
    <map measureGroup="3" dimension="2"/>
    <map measureGroup="3" dimension="3"/>
    <map measureGroup="3" dimension="6"/>
    <map measureGroup="4" dimension="0"/>
    <map measureGroup="4" dimension="2"/>
    <map measureGroup="4" dimension="4"/>
    <map measureGroup="4" dimension="6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saveData="0" refreshedBy="HP" refreshedDate="45501.510699074075" backgroundQuery="1" createdVersion="6" refreshedVersion="6" minRefreshableVersion="3" recordCount="0" supportSubquery="1" supportAdvancedDrill="1">
  <cacheSource type="external" connectionId="1"/>
  <cacheFields count="5">
    <cacheField name="[listeVentes].[Date].[Date]" caption="Date" numFmtId="0" hierarchy="14" level="1">
      <sharedItems containsSemiMixedTypes="0" containsNonDate="0" containsDate="1" containsString="0" count="37">
        <d v="2022-01-01T00:00:00"/>
        <d v="2022-01-02T00:00:00"/>
        <d v="2022-01-06T00:00:00"/>
        <d v="2022-01-10T00:00:00"/>
        <d v="2022-01-17T00:00:00"/>
        <d v="2022-01-21T00:00:00"/>
        <d v="2022-01-23T00:00:00"/>
        <d v="2022-01-26T00:00:00"/>
        <d v="2022-02-02T00:00:00"/>
        <d v="2022-02-03T00:00:00"/>
        <d v="2022-02-05T00:00:00"/>
        <d v="2022-02-06T00:00:00"/>
        <d v="2022-02-09T00:00:00"/>
        <d v="2022-02-20T00:00:00"/>
        <d v="2022-02-22T00:00:00"/>
        <d v="2022-03-03T00:00:00"/>
        <d v="2022-03-04T00:00:00"/>
        <d v="2022-03-05T00:00:00"/>
        <d v="2022-03-06T00:00:00"/>
        <d v="2022-03-09T00:00:00"/>
        <d v="2022-03-26T00:00:00"/>
        <d v="2022-04-01T00:00:00"/>
        <d v="2022-04-04T00:00:00"/>
        <d v="2022-04-05T00:00:00"/>
        <d v="2022-04-09T00:00:00"/>
        <d v="2022-04-11T00:00:00"/>
        <d v="2022-04-19T00:00:00"/>
        <d v="2022-04-21T00:00:00"/>
        <d v="2022-04-22T00:00:00"/>
        <d v="2022-05-03T00:00:00"/>
        <d v="2022-05-04T00:00:00"/>
        <d v="2022-05-05T00:00:00"/>
        <d v="2022-05-06T00:00:00"/>
        <d v="2022-05-08T00:00:00"/>
        <d v="2022-05-15T00:00:00"/>
        <d v="2022-05-17T00:00:00"/>
        <d v="2022-05-22T00:00:00"/>
      </sharedItems>
    </cacheField>
    <cacheField name="[listeVentes].[Date (mois)].[Date (mois)]" caption="Date (mois)" numFmtId="0" hierarchy="15" level="1">
      <sharedItems count="5">
        <s v="janv"/>
        <s v="févr"/>
        <s v="mars"/>
        <s v="avr"/>
        <s v="mai"/>
      </sharedItems>
    </cacheField>
    <cacheField name="[Measures].[Somme de Total 2]" caption="Somme de Total 2" numFmtId="0" hierarchy="35" level="32767"/>
    <cacheField name="[lesReferences].[Référence].[Référence]" caption="Référence" numFmtId="0" hierarchy="2" level="1">
      <sharedItems containsSemiMixedTypes="0" containsNonDate="0" containsString="0"/>
    </cacheField>
    <cacheField name="Dummy0" numFmtId="0" hierarchy="37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38">
    <cacheHierarchy uniqueName="[lesCategories].[Catégorie]" caption="Catégorie" attribute="1" defaultMemberUniqueName="[lesCategories].[Catégorie].[All]" allUniqueName="[lesCategories].[Catégorie].[All]" dimensionUniqueName="[lesCategories]" displayFolder="" count="2" memberValueDatatype="130" unbalanced="0"/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]" caption="Référence" attribute="1" defaultMemberUniqueName="[lesReferences].[Référence].[All]" allUniqueName="[lesReferences].[Référence].[All]" dimensionUniqueName="[lesReferences]" displayFolder="" count="2" memberValueDatatype="130" unbalanced="0">
      <fieldsUsage count="2">
        <fieldUsage x="-1"/>
        <fieldUsage x="3"/>
      </fieldsUsage>
    </cacheHierarchy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Date]" caption="Date" attribute="1" time="1" defaultMemberUniqueName="[listeVentes].[Date].[All]" allUniqueName="[listeVentes].[Date].[All]" dimensionUniqueName="[listeVentes]" displayFolder="" count="2" memberValueDatatype="7" unbalanced="0">
      <fieldsUsage count="2">
        <fieldUsage x="-1"/>
        <fieldUsage x="0"/>
      </fieldsUsage>
    </cacheHierarchy>
    <cacheHierarchy uniqueName="[listeVentes].[Date (mois)]" caption="Date (mois)" attribute="1" defaultMemberUniqueName="[listeVentes].[Date (mois)].[All]" allUniqueName="[listeVentes].[Date (mois)].[All]" dimensionUniqueName="[listeVentes]" displayFolder="" count="2" memberValueDatatype="130" unbalanced="0">
      <fieldsUsage count="2">
        <fieldUsage x="-1"/>
        <fieldUsage x="1"/>
      </fieldsUsage>
    </cacheHierarchy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Mois].[mois]" caption="mois" attribute="1" defaultMemberUniqueName="[Mois].[mois].[All]" allUniqueName="[Mois].[mois].[All]" dimensionUniqueName="[Moi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Dummy0" caption="Catégorie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7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6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2">
    <map measureGroup="0" dimension="0"/>
    <map measureGroup="1" dimension="1"/>
    <map measureGroup="2" dimension="2"/>
    <map measureGroup="3" dimension="0"/>
    <map measureGroup="3" dimension="2"/>
    <map measureGroup="3" dimension="3"/>
    <map measureGroup="3" dimension="6"/>
    <map measureGroup="4" dimension="0"/>
    <map measureGroup="4" dimension="2"/>
    <map measureGroup="4" dimension="4"/>
    <map measureGroup="4" dimension="6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saveData="0" refreshedBy="HP" refreshedDate="45501.510699537037" backgroundQuery="1" createdVersion="6" refreshedVersion="6" minRefreshableVersion="3" recordCount="0" supportSubquery="1" supportAdvancedDrill="1">
  <cacheSource type="external" connectionId="1"/>
  <cacheFields count="5">
    <cacheField name="[listeAchats].[Date].[Date]" caption="Date" numFmtId="0" hierarchy="5" level="1">
      <sharedItems containsSemiMixedTypes="0" containsNonDate="0" containsDate="1" containsString="0" count="34">
        <d v="2022-01-01T00:00:00"/>
        <d v="2022-01-02T00:00:00"/>
        <d v="2022-01-05T00:00:00"/>
        <d v="2022-01-16T00:00:00"/>
        <d v="2022-01-20T00:00:00"/>
        <d v="2022-01-22T00:00:00"/>
        <d v="2022-01-25T00:00:00"/>
        <d v="2022-02-01T00:00:00"/>
        <d v="2022-02-02T00:00:00"/>
        <d v="2022-02-03T00:00:00"/>
        <d v="2022-02-05T00:00:00"/>
        <d v="2022-02-10T00:00:00"/>
        <d v="2022-02-15T00:00:00"/>
        <d v="2022-02-25T00:00:00"/>
        <d v="2022-02-26T00:00:00"/>
        <d v="2022-03-02T00:00:00"/>
        <d v="2022-03-03T00:00:00"/>
        <d v="2022-03-05T00:00:00"/>
        <d v="2022-03-06T00:00:00"/>
        <d v="2022-03-20T00:00:00"/>
        <d v="2022-03-26T00:00:00"/>
        <d v="2022-04-03T00:00:00"/>
        <d v="2022-04-04T00:00:00"/>
        <d v="2022-04-05T00:00:00"/>
        <d v="2022-04-06T00:00:00"/>
        <d v="2022-04-25T00:00:00"/>
        <d v="2022-05-02T00:00:00"/>
        <d v="2022-05-04T00:00:00"/>
        <d v="2022-05-05T00:00:00"/>
        <d v="2022-05-06T00:00:00"/>
        <d v="2022-05-08T00:00:00"/>
        <d v="2022-05-09T00:00:00"/>
        <d v="2022-05-17T00:00:00"/>
        <d v="2022-05-22T00:00:00"/>
      </sharedItems>
    </cacheField>
    <cacheField name="[listeAchats].[Date (mois)].[Date (mois)]" caption="Date (mois)" numFmtId="0" hierarchy="6" level="1">
      <sharedItems count="5">
        <s v="janv"/>
        <s v="févr"/>
        <s v="mars"/>
        <s v="avr"/>
        <s v="mai"/>
      </sharedItems>
    </cacheField>
    <cacheField name="[Measures].[Somme de Total]" caption="Somme de Total" numFmtId="0" hierarchy="34" level="32767"/>
    <cacheField name="[lesReferences].[Référence].[Référence]" caption="Référence" numFmtId="0" hierarchy="2" level="1">
      <sharedItems containsSemiMixedTypes="0" containsNonDate="0" containsString="0"/>
    </cacheField>
    <cacheField name="Dummy0" numFmtId="0" hierarchy="37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38">
    <cacheHierarchy uniqueName="[lesCategories].[Catégorie]" caption="Catégorie" attribute="1" defaultMemberUniqueName="[lesCategories].[Catégorie].[All]" allUniqueName="[lesCategories].[Catégorie].[All]" dimensionUniqueName="[lesCategories]" displayFolder="" count="2" memberValueDatatype="130" unbalanced="0"/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]" caption="Référence" attribute="1" defaultMemberUniqueName="[lesReferences].[Référence].[All]" allUniqueName="[lesReferences].[Référence].[All]" dimensionUniqueName="[lesReferences]" displayFolder="" count="2" memberValueDatatype="130" unbalanced="0">
      <fieldsUsage count="2">
        <fieldUsage x="-1"/>
        <fieldUsage x="3"/>
      </fieldsUsage>
    </cacheHierarchy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Date]" caption="Date" attribute="1" time="1" defaultMemberUniqueName="[listeAchats].[Date].[All]" allUniqueName="[listeAchats].[Date].[All]" dimensionUniqueName="[listeAchats]" displayFolder="" count="2" memberValueDatatype="7" unbalanced="0">
      <fieldsUsage count="2">
        <fieldUsage x="-1"/>
        <fieldUsage x="0"/>
      </fieldsUsage>
    </cacheHierarchy>
    <cacheHierarchy uniqueName="[listeAchats].[Date (mois)]" caption="Date (mois)" attribute="1" defaultMemberUniqueName="[listeAchats].[Date (mois)].[All]" allUniqueName="[listeAchats].[Date (mois)].[All]" dimensionUniqueName="[listeAchats]" displayFolder="" count="2" memberValueDatatype="130" unbalanced="0">
      <fieldsUsage count="2">
        <fieldUsage x="-1"/>
        <fieldUsage x="1"/>
      </fieldsUsage>
    </cacheHierarchy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Mois].[mois]" caption="mois" attribute="1" defaultMemberUniqueName="[Mois].[mois].[All]" allUniqueName="[Mois].[mois].[All]" dimensionUniqueName="[Moi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me de Total]" caption="Somme de Total" measure="1" displayFolder="" measureGroup="listeAchat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Dummy0" caption="Catégorie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7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6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2">
    <map measureGroup="0" dimension="0"/>
    <map measureGroup="1" dimension="1"/>
    <map measureGroup="2" dimension="2"/>
    <map measureGroup="3" dimension="0"/>
    <map measureGroup="3" dimension="2"/>
    <map measureGroup="3" dimension="3"/>
    <map measureGroup="3" dimension="6"/>
    <map measureGroup="4" dimension="0"/>
    <map measureGroup="4" dimension="2"/>
    <map measureGroup="4" dimension="4"/>
    <map measureGroup="4" dimension="6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saveData="0" refreshedBy="HP" refreshedDate="45501.504069212962" backgroundQuery="1" createdVersion="3" refreshedVersion="6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7">
    <cacheHierarchy uniqueName="[lesCategories].[Catégorie]" caption="Catégorie" attribute="1" defaultMemberUniqueName="[lesCategories].[Catégorie].[All]" allUniqueName="[lesCategories].[Catégorie].[All]" dimensionUniqueName="[lesCategories]" displayFolder="" count="2" memberValueDatatype="130" unbalanced="0"/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]" caption="Référence" attribute="1" defaultMemberUniqueName="[lesReferences].[Référence].[All]" allUniqueName="[lesReferences].[Référence].[All]" dimensionUniqueName="[lesReferences]" displayFolder="" count="2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Mois].[mois]" caption="mois" attribute="1" defaultMemberUniqueName="[Mois].[mois].[All]" allUniqueName="[Mois].[mois].[All]" dimensionUniqueName="[Mois]" displayFolder="" count="2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6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">
  <r>
    <s v="S1"/>
    <x v="0"/>
    <x v="0"/>
    <s v="1 unité"/>
    <n v="10"/>
    <n v="20"/>
    <n v="55"/>
    <n v="60"/>
    <n v="15"/>
    <n v="599.4666666666667"/>
    <n v="8992"/>
    <x v="0"/>
  </r>
  <r>
    <s v="S2"/>
    <x v="1"/>
    <x v="0"/>
    <s v="1 unité"/>
    <n v="10"/>
    <n v="3"/>
    <n v="96"/>
    <n v="87"/>
    <n v="12"/>
    <n v="1400"/>
    <n v="16800"/>
    <x v="0"/>
  </r>
  <r>
    <s v="B1"/>
    <x v="2"/>
    <x v="1"/>
    <s v="1 unité "/>
    <n v="10"/>
    <n v="10"/>
    <n v="95"/>
    <n v="79"/>
    <n v="26"/>
    <n v="0.20904761904761907"/>
    <n v="5.4352380952380956"/>
    <x v="0"/>
  </r>
  <r>
    <s v="B2"/>
    <x v="2"/>
    <x v="1"/>
    <s v="Pack de 10 unités"/>
    <n v="50"/>
    <n v="15"/>
    <n v="147"/>
    <n v="64"/>
    <n v="98"/>
    <n v="2"/>
    <n v="196"/>
    <x v="0"/>
  </r>
  <r>
    <s v="B3"/>
    <x v="2"/>
    <x v="1"/>
    <s v="Pack de 20 unités"/>
    <n v="20"/>
    <n v="5"/>
    <n v="320"/>
    <n v="195"/>
    <n v="130"/>
    <n v="4"/>
    <n v="520"/>
    <x v="0"/>
  </r>
  <r>
    <s v="E1"/>
    <x v="3"/>
    <x v="2"/>
    <s v="1 unité"/>
    <n v="10"/>
    <n v="5"/>
    <n v="24"/>
    <n v="21"/>
    <n v="8"/>
    <n v="700"/>
    <n v="5600"/>
    <x v="1"/>
  </r>
  <r>
    <s v="E2"/>
    <x v="4"/>
    <x v="2"/>
    <s v="1 unité"/>
    <n v="10"/>
    <n v="3"/>
    <n v="40"/>
    <n v="24"/>
    <n v="19"/>
    <n v="300"/>
    <n v="5700"/>
    <x v="0"/>
  </r>
  <r>
    <s v="E3"/>
    <x v="5"/>
    <x v="2"/>
    <s v="1 unité"/>
    <n v="10"/>
    <n v="6"/>
    <n v="65"/>
    <n v="28"/>
    <n v="43"/>
    <n v="150"/>
    <n v="6450"/>
    <x v="0"/>
  </r>
  <r>
    <s v="E4"/>
    <x v="6"/>
    <x v="2"/>
    <s v="1 unité"/>
    <n v="10"/>
    <n v="0"/>
    <n v="60"/>
    <n v="60"/>
    <n v="0"/>
    <n v="500"/>
    <n v="0"/>
    <x v="2"/>
  </r>
  <r>
    <s v="C1"/>
    <x v="7"/>
    <x v="3"/>
    <s v="1 unité"/>
    <n v="10"/>
    <n v="3"/>
    <n v="50"/>
    <n v="40"/>
    <n v="13"/>
    <n v="751.88679245283015"/>
    <n v="9774.5283018867922"/>
    <x v="0"/>
  </r>
  <r>
    <s v="C2"/>
    <x v="8"/>
    <x v="3"/>
    <s v="1 unité"/>
    <n v="10"/>
    <n v="6"/>
    <n v="40"/>
    <n v="44"/>
    <n v="2"/>
    <n v="407.06521739130437"/>
    <n v="814.13043478260875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C1" cacheId="6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1:B2" firstHeaderRow="0" firstDataRow="1" firstDataCol="0"/>
  <pivotFields count="12"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4" showAll="0"/>
    <pivotField dataField="1" numFmtId="164" showAll="0"/>
    <pivotField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Stock final" fld="8" baseField="0" baseItem="0"/>
    <dataField name="Somme de Valeur" fld="10" baseField="0" baseItem="0" numFmtId="164"/>
  </dataFields>
  <formats count="4">
    <format dxfId="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StockEntréeMois" cacheId="14" applyNumberFormats="0" applyBorderFormats="0" applyFontFormats="0" applyPatternFormats="0" applyAlignmentFormats="0" applyWidthHeightFormats="1" dataCaption="Valeurs" updatedVersion="6" minRefreshableVersion="3" useAutoFormatting="1" subtotalHiddenItems="1" itemPrintTitles="1" createdVersion="6" indent="0" outline="1" outlineData="1" multipleFieldFilters="0">
  <location ref="A52:C58" firstHeaderRow="0" firstDataRow="1" firstDataCol="1"/>
  <pivotFields count="5">
    <pivotField axis="axisRow" allDrilled="1" showAll="0" dataSourceSort="1" defaultAttributeDrillState="1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t="default"/>
      </items>
    </pivotField>
    <pivotField axis="axisRow" allDrilled="1" showAll="0" dataSourceSort="1">
      <items count="6">
        <item x="0" e="0"/>
        <item x="1" e="0"/>
        <item x="2" e="0"/>
        <item x="3" e="0"/>
        <item x="4" e="0"/>
        <item t="default"/>
      </items>
    </pivotField>
    <pivotField dataField="1" showAll="0"/>
    <pivotField allDrilled="1" showAll="0" dataSourceSort="1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2">
    <field x="1"/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Quantité" fld="2" baseField="0" baseItem="0"/>
    <dataField name="Somme de Quantité2" fld="4" baseField="0" baseItem="0">
      <extLst>
        <ext xmlns:x14="http://schemas.microsoft.com/office/spreadsheetml/2009/9/main" uri="{E15A36E0-9728-4e99-A89B-3F7291B0FE68}">
          <x14:dataField sourceField="2" uniqueName="[__Xl2].[Measures].[Somme de Quantité]"/>
        </ext>
      </extLst>
    </dataField>
  </dataFields>
  <pivotHierarchies count="38"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Achats">
        <x15:activeTabTopLevelEntity name="[listeAchats]"/>
      </x15:pivotTableUISettings>
    </ext>
  </extLst>
</pivotTableDefinition>
</file>

<file path=xl/pivotTables/pivotTable3.xml><?xml version="1.0" encoding="utf-8"?>
<pivotTableDefinition xmlns="http://schemas.openxmlformats.org/spreadsheetml/2006/main" name="ValeursEntreesMois" cacheId="17" applyNumberFormats="0" applyBorderFormats="0" applyFontFormats="0" applyPatternFormats="0" applyAlignmentFormats="0" applyWidthHeightFormats="1" dataCaption="Valeurs" updatedVersion="6" minRefreshableVersion="3" useAutoFormatting="1" subtotalHiddenItems="1" itemPrintTitles="1" createdVersion="6" indent="0" outline="1" outlineData="1" multipleFieldFilters="0" chartFormat="4">
  <location ref="A68:C74" firstHeaderRow="0" firstDataRow="1" firstDataCol="1"/>
  <pivotFields count="5">
    <pivotField axis="axisRow" allDrilled="1" showAll="0" dataSourceSort="1" defaultAttributeDrillState="1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t="default"/>
      </items>
    </pivotField>
    <pivotField axis="axisRow" allDrilled="1" showAll="0" dataSourceSort="1">
      <items count="6">
        <item x="0" e="0"/>
        <item x="1" e="0"/>
        <item x="2" e="0"/>
        <item x="3" e="0"/>
        <item x="4" e="0"/>
        <item t="default"/>
      </items>
    </pivotField>
    <pivotField dataField="1" showAll="0"/>
    <pivotField allDrilled="1" showAll="0" dataSourceSort="1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2">
    <field x="1"/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Total" fld="2" baseField="0" baseItem="0"/>
    <dataField name="Somme de Total2" fld="4" baseField="0" baseItem="0">
      <extLst>
        <ext xmlns:x14="http://schemas.microsoft.com/office/spreadsheetml/2009/9/main" uri="{E15A36E0-9728-4e99-A89B-3F7291B0FE68}">
          <x14:dataField sourceField="2" uniqueName="[__Xl2].[Measures].[Somme de Total]"/>
        </ext>
      </extLst>
    </dataField>
  </dataFields>
  <formats count="1">
    <format dxfId="10">
      <pivotArea outline="0" collapsedLevelsAreSubtotals="1" fieldPosition="0"/>
    </format>
  </formats>
  <chartFormats count="13"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5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6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</chartFormats>
  <pivotHierarchies count="38"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Achats">
        <x15:activeTabTopLevelEntity name="[listeAchats]"/>
      </x15:pivotTableUISettings>
    </ext>
  </extLst>
</pivotTableDefinition>
</file>

<file path=xl/pivotTables/pivotTable4.xml><?xml version="1.0" encoding="utf-8"?>
<pivotTableDefinition xmlns="http://schemas.openxmlformats.org/spreadsheetml/2006/main" name="ValeurEntreesMois" cacheId="16" applyNumberFormats="0" applyBorderFormats="0" applyFontFormats="0" applyPatternFormats="0" applyAlignmentFormats="0" applyWidthHeightFormats="1" dataCaption="Valeurs" updatedVersion="6" minRefreshableVersion="3" useAutoFormatting="1" subtotalHiddenItems="1" itemPrintTitles="1" createdVersion="6" indent="0" outline="1" outlineData="1" multipleFieldFilters="0" chartFormat="3">
  <location ref="B76:D82" firstHeaderRow="0" firstDataRow="1" firstDataCol="1"/>
  <pivotFields count="5">
    <pivotField axis="axisRow" allDrilled="1" showAll="0" dataSourceSort="1" defaultAttributeDrillState="1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  <pivotField axis="axisRow" allDrilled="1" showAll="0" dataSourceSort="1">
      <items count="6">
        <item x="0" e="0"/>
        <item x="1" e="0"/>
        <item x="2" e="0"/>
        <item x="3" e="0"/>
        <item x="4" e="0"/>
        <item t="default"/>
      </items>
    </pivotField>
    <pivotField dataField="1" showAll="0"/>
    <pivotField allDrilled="1" showAll="0" dataSourceSort="1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2">
    <field x="1"/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Total" fld="2" baseField="0" baseItem="0"/>
    <dataField name="Somme de Total2" fld="4" baseField="0" baseItem="0">
      <extLst>
        <ext xmlns:x14="http://schemas.microsoft.com/office/spreadsheetml/2009/9/main" uri="{E15A36E0-9728-4e99-A89B-3F7291B0FE68}">
          <x14:dataField sourceField="2" uniqueName="[__Xl2].[Measures].[Somme de Total 2]"/>
        </ext>
      </extLst>
    </dataField>
  </dataFields>
  <formats count="1">
    <format dxfId="11">
      <pivotArea outline="0" collapsedLevelsAreSubtotals="1" fieldPosition="0"/>
    </format>
  </formats>
  <chartFormats count="9"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Hierarchies count="38"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2">
    <rowHierarchyUsage hierarchyUsage="15"/>
    <rowHierarchyUsage hierarchyUsage="1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</x15:pivotTableUISettings>
    </ext>
  </extLst>
</pivotTableDefinition>
</file>

<file path=xl/pivotTables/pivotTable5.xml><?xml version="1.0" encoding="utf-8"?>
<pivotTableDefinition xmlns="http://schemas.openxmlformats.org/spreadsheetml/2006/main" name="EntreeTotalCategorie" cacheId="7" applyNumberFormats="0" applyBorderFormats="0" applyFontFormats="0" applyPatternFormats="0" applyAlignmentFormats="0" applyWidthHeightFormats="1" dataCaption="Valeurs" updatedVersion="6" minRefreshableVersion="3" useAutoFormatting="1" subtotalHiddenItems="1" itemPrintTitles="1" createdVersion="6" indent="0" outline="1" outlineData="1" multipleFieldFilters="0" chartFormat="3">
  <location ref="A24:B29" firstHeaderRow="1" firstDataRow="1" firstDataCol="1"/>
  <pivotFields count="3"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dataField="1" showAll="0"/>
    <pivotField allDrilled="1" showAll="0" dataSourceSort="1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Total" fld="1" baseField="0" baseItem="0" numFmtId="164"/>
  </dataFields>
  <formats count="3">
    <format dxfId="14">
      <pivotArea outline="0" collapsedLevelsAreSubtotals="1" fieldPosition="0"/>
    </format>
    <format dxfId="13">
      <pivotArea dataOnly="0" labelOnly="1" outline="0" axis="axisValues" fieldPosition="0"/>
    </format>
    <format dxfId="12">
      <pivotArea dataOnly="0" labelOnly="1" outline="0" axis="axisValues" fieldPosition="0"/>
    </format>
  </formats>
  <chartFormats count="10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37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Achats">
        <x15:activeTabTopLevelEntity name="[listeAchats]"/>
        <x15:activeTabTopLevelEntity name="[lesMois]"/>
      </x15:pivotTableUISettings>
    </ext>
  </extLst>
</pivotTableDefinition>
</file>

<file path=xl/pivotTables/pivotTable6.xml><?xml version="1.0" encoding="utf-8"?>
<pivotTableDefinition xmlns="http://schemas.openxmlformats.org/spreadsheetml/2006/main" name="MarchandiseàApprovisionner" cacheId="6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C92:D96" firstHeaderRow="1" firstDataRow="1" firstDataCol="1" rowPageCount="1" colPageCount="1"/>
  <pivotFields count="12">
    <pivotField showAll="0"/>
    <pivotField axis="axisRow" showAll="0">
      <items count="10">
        <item x="6"/>
        <item x="5"/>
        <item x="0"/>
        <item x="1"/>
        <item x="8"/>
        <item x="2"/>
        <item x="7"/>
        <item x="4"/>
        <item x="3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numFmtId="164" showAll="0"/>
    <pivotField numFmtId="164" showAll="0"/>
    <pivotField axis="axisPage" multipleItemSelectionAllowed="1" showAll="0">
      <items count="4">
        <item x="2"/>
        <item x="1"/>
        <item h="1" x="0"/>
        <item t="default"/>
      </items>
    </pivotField>
  </pivotFields>
  <rowFields count="1">
    <field x="1"/>
  </rowFields>
  <rowItems count="4">
    <i>
      <x/>
    </i>
    <i>
      <x v="4"/>
    </i>
    <i>
      <x v="8"/>
    </i>
    <i t="grand">
      <x/>
    </i>
  </rowItems>
  <colItems count="1">
    <i/>
  </colItems>
  <pageFields count="1">
    <pageField fld="11" hier="-1"/>
  </pageFields>
  <dataFields count="1">
    <dataField name="Somme de Stock initial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C2" cacheId="12" applyNumberFormats="0" applyBorderFormats="0" applyFontFormats="0" applyPatternFormats="0" applyAlignmentFormats="0" applyWidthHeightFormats="1" dataCaption="Valeurs" updatedVersion="6" minRefreshableVersion="3" useAutoFormatting="1" subtotalHiddenItems="1" itemPrintTitles="1" createdVersion="6" indent="0" outline="1" outlineData="1" multipleFieldFilters="0">
  <location ref="A4:B5" firstHeaderRow="0" firstDataRow="1" firstDataCol="0"/>
  <pivotFields count="3">
    <pivotField dataField="1" showAll="0"/>
    <pivotField dataField="1" showAll="0"/>
    <pivotField allDrilled="1" showAll="0" dataSourceSort="1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Quantité" fld="0" baseField="0" baseItem="0"/>
    <dataField name="Somme de Total" fld="1" baseField="0" baseItem="0" numFmtId="164"/>
  </dataFields>
  <formats count="2">
    <format dxfId="1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Hierarchies count="37"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Achats">
        <x15:activeTabTopLevelEntity name="[listeAchats]"/>
        <x15:activeTabTopLevelEntity name="[lesCategories]"/>
        <x15:activeTabTopLevelEntity name="[lesReferences]"/>
        <x15:activeTabTopLevelEntity name="[lesMois]"/>
      </x15:pivotTableUISettings>
    </ext>
  </extLst>
</pivotTableDefinition>
</file>

<file path=xl/pivotTables/pivotTable8.xml><?xml version="1.0" encoding="utf-8"?>
<pivotTableDefinition xmlns="http://schemas.openxmlformats.org/spreadsheetml/2006/main" name="EntreeValeurCategorie" cacheId="8" applyNumberFormats="0" applyBorderFormats="0" applyFontFormats="0" applyPatternFormats="0" applyAlignmentFormats="0" applyWidthHeightFormats="1" dataCaption="Valeurs" updatedVersion="6" minRefreshableVersion="3" useAutoFormatting="1" subtotalHiddenItems="1" itemPrintTitles="1" createdVersion="6" indent="0" outline="1" outlineData="1" multipleFieldFilters="0" chartFormat="4">
  <location ref="A31:B36" firstHeaderRow="1" firstDataRow="1" firstDataCol="1"/>
  <pivotFields count="3"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dataField="1" showAll="0"/>
    <pivotField allDrilled="1" showAll="0" dataSourceSort="1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Quantité" fld="1" baseField="0" baseItem="0"/>
  </dataFields>
  <chartFormats count="10"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37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Achats">
        <x15:activeTabTopLevelEntity name="[listeAchats]"/>
      </x15:pivotTableUISettings>
    </ext>
  </extLst>
</pivotTableDefinition>
</file>

<file path=xl/pivotTables/pivotTable9.xml><?xml version="1.0" encoding="utf-8"?>
<pivotTableDefinition xmlns="http://schemas.openxmlformats.org/spreadsheetml/2006/main" name="SortieTotalCategorie" cacheId="9" applyNumberFormats="0" applyBorderFormats="0" applyFontFormats="0" applyPatternFormats="0" applyAlignmentFormats="0" applyWidthHeightFormats="1" dataCaption="Valeurs" updatedVersion="6" minRefreshableVersion="3" useAutoFormatting="1" subtotalHiddenItems="1" itemPrintTitles="1" createdVersion="6" indent="0" outline="1" outlineData="1" multipleFieldFilters="0" chartFormat="4">
  <location ref="A38:B43" firstHeaderRow="1" firstDataRow="1" firstDataCol="1"/>
  <pivotFields count="3"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dataField="1" showAll="0"/>
    <pivotField allDrilled="1" showAll="0" dataSourceSort="1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Total" fld="1" baseField="0" baseItem="0" numFmtId="165"/>
  </dataFields>
  <formats count="9">
    <format dxfId="25">
      <pivotArea outline="0" collapsedLevelsAreSubtotals="1" fieldPosition="0"/>
    </format>
    <format dxfId="24">
      <pivotArea dataOnly="0" labelOnly="1" outline="0" axis="axisValues" fieldPosition="0"/>
    </format>
    <format dxfId="23">
      <pivotArea dataOnly="0" labelOnly="1" outline="0" axis="axisValues" fieldPosition="0"/>
    </format>
    <format dxfId="22">
      <pivotArea outline="0" collapsedLevelsAreSubtotals="1" fieldPosition="0"/>
    </format>
    <format dxfId="21">
      <pivotArea dataOnly="0" labelOnly="1" outline="0" axis="axisValues" fieldPosition="0"/>
    </format>
    <format dxfId="20">
      <pivotArea dataOnly="0" labelOnly="1" outline="0" axis="axisValues" fieldPosition="0"/>
    </format>
    <format dxfId="19">
      <pivotArea outline="0" collapsedLevelsAreSubtotals="1" fieldPosition="0"/>
    </format>
    <format dxfId="18">
      <pivotArea dataOnly="0" labelOnly="1" outline="0" axis="axisValues" fieldPosition="0"/>
    </format>
    <format dxfId="17">
      <pivotArea dataOnly="0" labelOnly="1" outline="0" axis="axisValues" fieldPosition="0"/>
    </format>
  </formats>
  <chartFormats count="10"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37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</x15:pivotTableUISettings>
    </ext>
  </extLst>
</pivotTableDefinition>
</file>

<file path=xl/pivotTables/pivotTable10.xml><?xml version="1.0" encoding="utf-8"?>
<pivotTableDefinition xmlns="http://schemas.openxmlformats.org/spreadsheetml/2006/main" name="Top3Marchandises" cacheId="11" applyNumberFormats="0" applyBorderFormats="0" applyFontFormats="0" applyPatternFormats="0" applyAlignmentFormats="0" applyWidthHeightFormats="1" dataCaption="Valeurs" updatedVersion="6" minRefreshableVersion="3" useAutoFormatting="1" subtotalHiddenItems="1" itemPrintTitles="1" createdVersion="6" indent="0" outline="1" outlineData="1" multipleFieldFilters="0" chartFormat="3">
  <location ref="C84:D88" firstHeaderRow="1" firstDataRow="1" firstDataCol="1"/>
  <pivotFields count="3">
    <pivotField axis="axisRow" allDrilled="1" showAll="0" measureFilter="1" sortType="a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allDrilled="1" showAll="0" dataSourceSort="1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me de Total" fld="1" baseField="0" baseItem="0" numFmtId="165"/>
  </dataFields>
  <formats count="6">
    <format dxfId="31">
      <pivotArea collapsedLevelsAreSubtotals="1" fieldPosition="0">
        <references count="1">
          <reference field="0" count="0"/>
        </references>
      </pivotArea>
    </format>
    <format dxfId="30">
      <pivotArea collapsedLevelsAreSubtotals="1" fieldPosition="0">
        <references count="1">
          <reference field="0" count="0"/>
        </references>
      </pivotArea>
    </format>
    <format dxfId="29">
      <pivotArea collapsedLevelsAreSubtotals="1" fieldPosition="0">
        <references count="1">
          <reference field="0" count="0"/>
        </references>
      </pivotArea>
    </format>
    <format dxfId="28">
      <pivotArea outline="0" collapsedLevelsAreSubtotals="1" fieldPosition="0"/>
    </format>
    <format dxfId="27">
      <pivotArea outline="0" collapsedLevelsAreSubtotals="1" fieldPosition="0"/>
    </format>
    <format dxfId="26">
      <pivotArea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7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2" iMeasureHier="35">
      <autoFilter ref="A1">
        <filterColumn colId="0">
          <top10 val="3" filterVal="3"/>
        </filterColumn>
      </autoFilter>
    </filter>
  </filters>
  <rowHierarchiesUsage count="1">
    <rowHierarchyUsage hierarchyUsage="1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</x15:pivotTableUISettings>
    </ext>
  </extLst>
</pivotTableDefinition>
</file>

<file path=xl/pivotTables/pivotTable11.xml><?xml version="1.0" encoding="utf-8"?>
<pivotTableDefinition xmlns="http://schemas.openxmlformats.org/spreadsheetml/2006/main" name="TC3" cacheId="13" applyNumberFormats="0" applyBorderFormats="0" applyFontFormats="0" applyPatternFormats="0" applyAlignmentFormats="0" applyWidthHeightFormats="1" dataCaption="Valeurs" updatedVersion="6" minRefreshableVersion="3" useAutoFormatting="1" subtotalHiddenItems="1" itemPrintTitles="1" createdVersion="6" indent="0" outline="1" outlineData="1" multipleFieldFilters="0">
  <location ref="A7:B8" firstHeaderRow="0" firstDataRow="1" firstDataCol="0"/>
  <pivotFields count="3">
    <pivotField dataField="1" showAll="0"/>
    <pivotField dataField="1" showAll="0"/>
    <pivotField allDrilled="1" showAll="0" dataSourceSort="1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Quantité" fld="0" baseField="0" baseItem="0"/>
    <dataField name="Somme de Total" fld="1" baseField="0" baseItem="0" numFmtId="164"/>
  </dataFields>
  <formats count="2">
    <format dxfId="3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Hierarchies count="37"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</x15:pivotTableUISettings>
    </ext>
  </extLst>
</pivotTableDefinition>
</file>

<file path=xl/pivotTables/pivotTable12.xml><?xml version="1.0" encoding="utf-8"?>
<pivotTableDefinition xmlns="http://schemas.openxmlformats.org/spreadsheetml/2006/main" name="StockSortieMois" cacheId="15" applyNumberFormats="0" applyBorderFormats="0" applyFontFormats="0" applyPatternFormats="0" applyAlignmentFormats="0" applyWidthHeightFormats="1" dataCaption="Valeurs" updatedVersion="6" minRefreshableVersion="3" useAutoFormatting="1" subtotalHiddenItems="1" itemPrintTitles="1" createdVersion="6" indent="0" outline="1" outlineData="1" multipleFieldFilters="0">
  <location ref="A60:B66" firstHeaderRow="1" firstDataRow="1" firstDataCol="1"/>
  <pivotFields count="4">
    <pivotField axis="axisRow" allDrilled="1" showAll="0" dataSourceSort="1" defaultAttributeDrillState="1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  <pivotField axis="axisRow" allDrilled="1" showAll="0" dataSourceSort="1">
      <items count="6">
        <item x="0" e="0"/>
        <item x="1" e="0"/>
        <item x="2" e="0"/>
        <item x="3" e="0"/>
        <item x="4" e="0"/>
        <item t="default"/>
      </items>
    </pivotField>
    <pivotField dataField="1" showAll="0"/>
    <pivotField allDrilled="1" showAll="0" dataSourceSort="1" defaultAttributeDrillState="1"/>
  </pivotFields>
  <rowFields count="2">
    <field x="1"/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me de Quantité2" fld="2" baseField="0" baseItem="0"/>
  </dataFields>
  <pivotHierarchies count="37"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5"/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</x15:pivotTableUISettings>
    </ext>
  </extLst>
</pivotTableDefinition>
</file>

<file path=xl/pivotTables/pivotTable13.xml><?xml version="1.0" encoding="utf-8"?>
<pivotTableDefinition xmlns="http://schemas.openxmlformats.org/spreadsheetml/2006/main" name="SortieValeurCategorie" cacheId="10" applyNumberFormats="0" applyBorderFormats="0" applyFontFormats="0" applyPatternFormats="0" applyAlignmentFormats="0" applyWidthHeightFormats="1" dataCaption="Valeurs" updatedVersion="6" minRefreshableVersion="3" useAutoFormatting="1" subtotalHiddenItems="1" itemPrintTitles="1" createdVersion="6" indent="0" outline="1" outlineData="1" multipleFieldFilters="0" chartFormat="4">
  <location ref="A45:B50" firstHeaderRow="1" firstDataRow="1" firstDataCol="1"/>
  <pivotFields count="3"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dataField="1" showAll="0"/>
    <pivotField allDrilled="1" showAll="0" dataSourceSort="1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Quantité" fld="1" baseField="0" baseItem="0"/>
  </dataFields>
  <chartFormats count="10"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37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</x15:pivotTableUISettings>
    </ext>
  </extLst>
</pivotTableDefinition>
</file>

<file path=xl/pivotTables/pivotTable14.xml><?xml version="1.0" encoding="utf-8"?>
<pivotTableDefinition xmlns="http://schemas.openxmlformats.org/spreadsheetml/2006/main" name="StockTotalCategorie" cacheId="6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3">
  <location ref="A10:B15" firstHeaderRow="1" firstDataRow="1" firstDataCol="1"/>
  <pivotFields count="12">
    <pivotField showAll="0"/>
    <pivotField showAll="0"/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numFmtId="164" showAll="0"/>
    <pivotField numFmtId="164"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Stock initial" fld="5" baseField="0" baseItem="0"/>
  </dataFields>
  <chartFormats count="10">
    <chartFormat chart="2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5.xml><?xml version="1.0" encoding="utf-8"?>
<pivotTableDefinition xmlns="http://schemas.openxmlformats.org/spreadsheetml/2006/main" name="StockValeurlCategorie" cacheId="6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3">
  <location ref="A17:B22" firstHeaderRow="1" firstDataRow="1" firstDataCol="1"/>
  <pivotFields count="12">
    <pivotField showAll="0"/>
    <pivotField showAll="0"/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numFmtId="164" showAll="0"/>
    <pivotField dataField="1" numFmtId="164"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Valeur" fld="10" baseField="0" baseItem="0" numFmtId="164"/>
  </dataFields>
  <formats count="3">
    <format dxfId="36">
      <pivotArea outline="0" collapsedLevelsAreSubtotals="1" fieldPosition="0"/>
    </format>
    <format dxfId="35">
      <pivotArea dataOnly="0" labelOnly="1" outline="0" axis="axisValues" fieldPosition="0"/>
    </format>
    <format dxfId="34">
      <pivotArea dataOnly="0" labelOnly="1" outline="0" axis="axisValues" fieldPosition="0"/>
    </format>
  </formats>
  <chartFormats count="15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Catégories" sourceName="[lesCategories].[Catégorie]">
  <pivotTables>
    <pivotTable tabId="14" name="TC2"/>
    <pivotTable tabId="14" name="TC3"/>
    <pivotTable tabId="14" name="StockEntréeMois"/>
    <pivotTable tabId="14" name="StockSortieMois"/>
    <pivotTable tabId="14" name="ValeurEntreesMois"/>
    <pivotTable tabId="14" name="ValeursEntreesMois"/>
  </pivotTables>
  <data>
    <olap pivotCacheId="16">
      <levels count="2">
        <level uniqueName="[lesCategories].[Catégorie].[(All)]" sourceCaption="(All)" count="0"/>
        <level uniqueName="[lesCategories].[Catégorie].[Catégorie]" sourceCaption="Catégorie" count="4">
          <ranges>
            <range startItem="0">
              <i n="[lesCategories].[Catégorie].&amp;[Biscuits]" c="Biscuits"/>
              <i n="[lesCategories].[Catégorie].&amp;[Consoles]" c="Consoles"/>
              <i n="[lesCategories].[Catégorie].&amp;[Electro]" c="Electro"/>
              <i n="[lesCategories].[Catégorie].&amp;[SmartPhone]" c="SmartPhone"/>
            </range>
          </ranges>
        </level>
      </levels>
      <selections count="1">
        <selection n="[lesCategories].[Catégorie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Références" sourceName="[lesReferences].[Référence]">
  <pivotTables>
    <pivotTable tabId="14" name="TC2"/>
    <pivotTable tabId="14" name="TC3"/>
    <pivotTable tabId="14" name="StockEntréeMois"/>
    <pivotTable tabId="14" name="StockSortieMois"/>
    <pivotTable tabId="14" name="ValeurEntreesMois"/>
    <pivotTable tabId="14" name="ValeursEntreesMois"/>
  </pivotTables>
  <data>
    <olap pivotCacheId="16">
      <levels count="2">
        <level uniqueName="[lesReferences].[Référence].[(All)]" sourceCaption="(All)" count="0"/>
        <level uniqueName="[lesReferences].[Référence].[Référence]" sourceCaption="Référence" count="11">
          <ranges>
            <range startItem="0">
              <i n="[lesReferences].[Référence].&amp;[B1]" c="B1"/>
              <i n="[lesReferences].[Référence].&amp;[B2]" c="B2"/>
              <i n="[lesReferences].[Référence].&amp;[B3]" c="B3"/>
              <i n="[lesReferences].[Référence].&amp;[C1]" c="C1"/>
              <i n="[lesReferences].[Référence].&amp;[C2]" c="C2"/>
              <i n="[lesReferences].[Référence].&amp;[E1]" c="E1"/>
              <i n="[lesReferences].[Référence].&amp;[E2]" c="E2"/>
              <i n="[lesReferences].[Référence].&amp;[E3]" c="E3"/>
              <i n="[lesReferences].[Référence].&amp;[E4]" c="E4"/>
              <i n="[lesReferences].[Référence].&amp;[S1]" c="S1"/>
              <i n="[lesReferences].[Référence].&amp;[S2]" c="S2"/>
            </range>
          </ranges>
        </level>
      </levels>
      <selections count="1">
        <selection n="[lesReferences].[Référence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mois1" sourceName="[Mois].[mois]">
  <pivotTables>
    <pivotTable tabId="14" name="TC2"/>
    <pivotTable tabId="14" name="EntreeTotalCategorie"/>
    <pivotTable tabId="14" name="EntreeValeurCategorie"/>
    <pivotTable tabId="14" name="SortieTotalCategorie"/>
    <pivotTable tabId="14" name="SortieValeurCategorie"/>
    <pivotTable tabId="14" name="TC3"/>
    <pivotTable tabId="14" name="Top3Marchandises"/>
  </pivotTables>
  <data>
    <olap pivotCacheId="16">
      <levels count="2">
        <level uniqueName="[Mois].[mois].[(All)]" sourceCaption="(All)" count="0"/>
        <level uniqueName="[Mois].[mois].[mois]" sourceCaption="mois" count="5">
          <ranges>
            <range startItem="0">
              <i n="[Mois].[mois].&amp;[avr]" c="avr"/>
              <i n="[Mois].[mois].&amp;[févr]" c="févr"/>
              <i n="[Mois].[mois].&amp;[janv]" c="janv"/>
              <i n="[Mois].[mois].&amp;[mai]" c="mai"/>
              <i n="[Mois].[mois].&amp;[mars]" c="mars"/>
            </range>
          </ranges>
        </level>
      </levels>
      <selections count="1">
        <selection n="[Mois].[mois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Catégories 1" cache="Segment_Catégories" caption="Catégories" level="1" rowHeight="241300"/>
  <slicer name="Références 1" cache="Segment_Références" caption="Références" columnCount="3" level="1" rowHeight="241300"/>
  <slicer name="mois 1" cache="Segment_mois1" caption="mois" columnCount="2" level="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Catégories" cache="Segment_Catégories" caption="Catégories" level="1" style="SlicerStyleLight1" rowHeight="241300"/>
  <slicer name="Références" cache="Segment_Références" caption="Références" columnCount="3" level="1" style="SlicerStyleLight1" rowHeight="241300"/>
  <slicer name="mois" cache="Segment_mois1" caption="mois" columnCount="2" level="1" rowHeight="241300"/>
</slicers>
</file>

<file path=xl/tables/table1.xml><?xml version="1.0" encoding="utf-8"?>
<table xmlns="http://schemas.openxmlformats.org/spreadsheetml/2006/main" id="1" name="listeProduits" displayName="listeProduits" ref="C14:J25" totalsRowShown="0" headerRowDxfId="88" dataDxfId="87">
  <autoFilter ref="C14:J25"/>
  <tableColumns count="8">
    <tableColumn id="1" name="Référence" dataDxfId="86"/>
    <tableColumn id="2" name="Désignation" dataDxfId="85"/>
    <tableColumn id="3" name="Catégorie" dataDxfId="84"/>
    <tableColumn id="4" name="Unité" dataDxfId="83"/>
    <tableColumn id="8" name="Seuil d'alerte" dataDxfId="82"/>
    <tableColumn id="7" name="Stock initial" dataDxfId="81"/>
    <tableColumn id="6" name="Prix unitaire" dataDxfId="80"/>
    <tableColumn id="5" name="Total" dataDxfId="79">
      <calculatedColumnFormula>listeProduits[[#This Row],[Stock initial]]*listeProduits[[#This Row],[Prix unitaire]]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listeAchats" displayName="listeAchats" ref="C6:K63" totalsRowShown="0" headerRowDxfId="78" dataDxfId="77">
  <autoFilter ref="C6:K63"/>
  <tableColumns count="9">
    <tableColumn id="1" name="Numéro" dataDxfId="76"/>
    <tableColumn id="10" name="Date" dataDxfId="75"/>
    <tableColumn id="9" name="Référence" dataDxfId="74"/>
    <tableColumn id="8" name="Désignation" dataDxfId="73"/>
    <tableColumn id="7" name="Catégorie" dataDxfId="72"/>
    <tableColumn id="6" name="Unité" dataDxfId="71"/>
    <tableColumn id="5" name="Coût d'achat" dataDxfId="70"/>
    <tableColumn id="2" name="Quantité" dataDxfId="69"/>
    <tableColumn id="3" name="Total" dataDxfId="68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6" name="listeVentes" displayName="listeVentes" ref="C6:K66" totalsRowShown="0" headerRowDxfId="67" dataDxfId="66">
  <autoFilter ref="C6:K66"/>
  <tableColumns count="9">
    <tableColumn id="1" name="Numéro" dataDxfId="65"/>
    <tableColumn id="10" name="Date" dataDxfId="64"/>
    <tableColumn id="9" name="Référence" dataDxfId="63"/>
    <tableColumn id="8" name="Désignation" dataDxfId="62"/>
    <tableColumn id="7" name="Catégorie" dataDxfId="61"/>
    <tableColumn id="6" name="Unité" dataDxfId="60"/>
    <tableColumn id="5" name="Prix de vente" dataDxfId="59"/>
    <tableColumn id="2" name="Quantité" dataDxfId="58"/>
    <tableColumn id="3" name="Total" dataDxfId="57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7" name="listeInventaire" displayName="listeInventaire" ref="C5:N16" totalsRowShown="0" headerRowDxfId="53" dataDxfId="51" headerRowBorderDxfId="52" tableBorderDxfId="50" totalsRowBorderDxfId="49">
  <autoFilter ref="C5:N16"/>
  <tableColumns count="12">
    <tableColumn id="1" name="Référence" dataDxfId="48"/>
    <tableColumn id="10" name="Désignation" dataDxfId="47">
      <calculatedColumnFormula>IFERROR(VLOOKUP(listeInventaire[[#This Row],[Référence]],listeProduits[],2,FALSE),"")</calculatedColumnFormula>
    </tableColumn>
    <tableColumn id="9" name="Catégorie" dataDxfId="46">
      <calculatedColumnFormula>IFERROR(VLOOKUP(listeInventaire[[#This Row],[Référence]],listeProduits[],3,FALSE),"")</calculatedColumnFormula>
    </tableColumn>
    <tableColumn id="8" name="Unité" dataDxfId="45">
      <calculatedColumnFormula>IFERROR(VLOOKUP(listeInventaire[[#This Row],[Référence]],listeProduits[],4,FALSE),"")</calculatedColumnFormula>
    </tableColumn>
    <tableColumn id="14" name="Seuil d'alerte" dataDxfId="44">
      <calculatedColumnFormula>IFERROR(VLOOKUP(listeInventaire[[#This Row],[Référence]],listeProduits[],5,FALSE),"")</calculatedColumnFormula>
    </tableColumn>
    <tableColumn id="7" name="Stock initial" dataDxfId="43">
      <calculatedColumnFormula>IFERROR(VLOOKUP(listeInventaire[[#This Row],[Référence]],listeProduits[],6,FALSE),"")</calculatedColumnFormula>
    </tableColumn>
    <tableColumn id="6" name="Entrées" dataDxfId="42">
      <calculatedColumnFormula>SUMIF(listeAchats[Référence],listeInventaire[[#This Row],[Référence]],listeAchats[Quantité])</calculatedColumnFormula>
    </tableColumn>
    <tableColumn id="5" name="Sorties" dataDxfId="41">
      <calculatedColumnFormula>SUMIF(listeVentes[Référence],listeInventaire[[#This Row],[Référence]],listeVentes[Quantité])</calculatedColumnFormula>
    </tableColumn>
    <tableColumn id="11" name="Stock final" dataDxfId="40">
      <calculatedColumnFormula>IFERROR(listeInventaire[[#This Row],[Stock initial]]+listeInventaire[[#This Row],[Entrées]]-listeInventaire[[#This Row],[Sorties]],"")</calculatedColumnFormula>
    </tableColumn>
    <tableColumn id="2" name="CUMP" dataDxfId="39">
      <calculatedColumnFormula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calculatedColumnFormula>
    </tableColumn>
    <tableColumn id="13" name="Valeur" dataDxfId="38">
      <calculatedColumnFormula>IFERROR(listeInventaire[[#This Row],[Stock final]]*listeInventaire[[#This Row],[CUMP]],"")</calculatedColumnFormula>
    </tableColumn>
    <tableColumn id="3" name="Statue" dataDxfId="37">
      <calculatedColumnFormula>IF(listeInventaire[[#This Row],[Stock final]]&gt;listeInventaire[[#This Row],[Seuil d''alerte]],"Stock normal",IF(listeInventaire[[#This Row],[Stock final]]=0,"Non disponible","Stock faible"))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id="4" name="LesCategories" displayName="LesCategories" ref="F1:F5" totalsRowShown="0" dataDxfId="5">
  <autoFilter ref="F1:F5"/>
  <tableColumns count="1">
    <tableColumn id="1" name="Catégorie" dataDxfId="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LesReferences" displayName="LesReferences" ref="H1:H12" totalsRowShown="0" headerRowDxfId="3" dataDxfId="2" tableBorderDxfId="1">
  <autoFilter ref="H1:H12"/>
  <tableColumns count="1">
    <tableColumn id="1" name="Référence" dataDxfId="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Mois" displayName="Mois" ref="K2:K7" totalsRowShown="0">
  <autoFilter ref="K2:K7"/>
  <tableColumns count="1">
    <tableColumn id="1" name="moi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Personnalisé 6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F46BA"/>
      </a:accent1>
      <a:accent2>
        <a:srgbClr val="F9896B"/>
      </a:accent2>
      <a:accent3>
        <a:srgbClr val="84E8F4"/>
      </a:accent3>
      <a:accent4>
        <a:srgbClr val="FDBC64"/>
      </a:accent4>
      <a:accent5>
        <a:srgbClr val="6D6D6D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table" Target="../tables/table5.xml"/><Relationship Id="rId3" Type="http://schemas.openxmlformats.org/officeDocument/2006/relationships/pivotTable" Target="../pivotTables/pivotTable3.xml"/><Relationship Id="rId21" Type="http://schemas.microsoft.com/office/2007/relationships/slicer" Target="../slicers/slicer2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drawing" Target="../drawings/drawing8.xml"/><Relationship Id="rId2" Type="http://schemas.openxmlformats.org/officeDocument/2006/relationships/pivotTable" Target="../pivotTables/pivotTable2.xml"/><Relationship Id="rId16" Type="http://schemas.openxmlformats.org/officeDocument/2006/relationships/printerSettings" Target="../printerSettings/printerSettings5.bin"/><Relationship Id="rId20" Type="http://schemas.openxmlformats.org/officeDocument/2006/relationships/table" Target="../tables/table7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6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P19"/>
  <sheetViews>
    <sheetView showGridLines="0" topLeftCell="D1" zoomScale="130" zoomScaleNormal="130" workbookViewId="0">
      <selection activeCell="G7" sqref="G7"/>
    </sheetView>
  </sheetViews>
  <sheetFormatPr baseColWidth="10" defaultColWidth="8.90625" defaultRowHeight="14.5"/>
  <cols>
    <col min="1" max="5" width="8.90625" style="1"/>
    <col min="6" max="6" width="7.81640625" style="1" customWidth="1"/>
    <col min="7" max="7" width="29.6328125" style="1" customWidth="1"/>
    <col min="8" max="8" width="8.90625" style="1" customWidth="1"/>
    <col min="9" max="9" width="25" style="1" customWidth="1"/>
    <col min="10" max="10" width="7.81640625" style="1" customWidth="1"/>
    <col min="11" max="16384" width="8.90625" style="1"/>
  </cols>
  <sheetData>
    <row r="1" spans="1:16" ht="18.649999999999999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6" ht="15" customHeight="1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6" ht="26.4" customHeight="1">
      <c r="A3" s="5"/>
      <c r="B3" s="5"/>
      <c r="C3" s="5"/>
      <c r="D3" s="5"/>
      <c r="E3" s="5"/>
      <c r="F3" s="2"/>
      <c r="G3" s="30" t="s">
        <v>17</v>
      </c>
      <c r="H3" s="3"/>
      <c r="I3" s="3"/>
      <c r="J3" s="2"/>
      <c r="K3" s="5"/>
      <c r="L3" s="5"/>
      <c r="M3" s="5"/>
      <c r="N3" s="5"/>
      <c r="O3" s="5"/>
      <c r="P3" s="5"/>
    </row>
    <row r="4" spans="1:16" ht="17.399999999999999" customHeight="1">
      <c r="F4" s="2"/>
      <c r="G4" s="68" t="s">
        <v>28</v>
      </c>
      <c r="H4" s="68"/>
      <c r="I4" s="68"/>
      <c r="J4" s="2"/>
    </row>
    <row r="5" spans="1:16" ht="10.25" customHeight="1">
      <c r="F5" s="2"/>
      <c r="G5" s="2"/>
      <c r="H5" s="3"/>
      <c r="I5" s="3"/>
      <c r="J5" s="2"/>
    </row>
    <row r="6" spans="1:16" ht="16" customHeight="1">
      <c r="F6" s="2"/>
      <c r="G6" s="34" t="s">
        <v>31</v>
      </c>
      <c r="H6" s="2"/>
      <c r="I6" s="34" t="s">
        <v>2</v>
      </c>
      <c r="J6" s="2"/>
    </row>
    <row r="7" spans="1:16" ht="22" customHeight="1">
      <c r="F7" s="2"/>
      <c r="G7" s="29" t="s">
        <v>55</v>
      </c>
      <c r="H7" s="2"/>
      <c r="I7" s="33">
        <v>45501</v>
      </c>
      <c r="J7" s="2"/>
    </row>
    <row r="8" spans="1:16" ht="16" customHeight="1">
      <c r="F8" s="2"/>
      <c r="G8" s="2"/>
      <c r="H8" s="2"/>
      <c r="I8" s="2"/>
      <c r="J8" s="2"/>
    </row>
    <row r="9" spans="1:16" ht="16" customHeight="1">
      <c r="F9" s="2"/>
      <c r="G9" s="34" t="s">
        <v>30</v>
      </c>
      <c r="H9" s="2"/>
      <c r="I9" s="34" t="s">
        <v>9</v>
      </c>
      <c r="J9" s="2"/>
    </row>
    <row r="10" spans="1:16" ht="22" customHeight="1">
      <c r="F10" s="2"/>
      <c r="G10" s="29" t="s">
        <v>84</v>
      </c>
      <c r="H10" s="2"/>
      <c r="I10" s="32">
        <v>2</v>
      </c>
      <c r="J10" s="2"/>
    </row>
    <row r="11" spans="1:16" ht="16" customHeight="1">
      <c r="F11" s="2"/>
      <c r="G11" s="2"/>
      <c r="H11" s="2"/>
      <c r="I11" s="2"/>
      <c r="J11" s="2"/>
    </row>
    <row r="12" spans="1:16" ht="16" customHeight="1">
      <c r="F12" s="2"/>
      <c r="G12" s="34" t="s">
        <v>29</v>
      </c>
      <c r="H12" s="2"/>
      <c r="I12" s="34" t="s">
        <v>33</v>
      </c>
      <c r="J12" s="2"/>
    </row>
    <row r="13" spans="1:16" ht="22" customHeight="1">
      <c r="F13" s="2"/>
      <c r="G13" s="29" t="s">
        <v>85</v>
      </c>
      <c r="H13" s="2"/>
      <c r="I13" s="31">
        <v>15</v>
      </c>
      <c r="J13" s="2"/>
    </row>
    <row r="14" spans="1:16" ht="16" customHeight="1">
      <c r="F14" s="2"/>
      <c r="G14" s="2"/>
      <c r="H14" s="2"/>
      <c r="I14" s="2"/>
      <c r="J14" s="2"/>
    </row>
    <row r="15" spans="1:16" ht="16" customHeight="1">
      <c r="F15" s="2"/>
      <c r="G15" s="34" t="s">
        <v>8</v>
      </c>
      <c r="H15" s="2"/>
      <c r="I15" s="34" t="s">
        <v>6</v>
      </c>
      <c r="J15" s="2"/>
    </row>
    <row r="16" spans="1:16" ht="22" customHeight="1">
      <c r="F16" s="2"/>
      <c r="G16" s="29">
        <v>1</v>
      </c>
      <c r="H16" s="2"/>
      <c r="I16" s="35">
        <f>I10*I13</f>
        <v>30</v>
      </c>
      <c r="J16" s="2"/>
    </row>
    <row r="17" spans="6:10" ht="16" customHeight="1">
      <c r="F17" s="2"/>
      <c r="G17" s="7"/>
      <c r="H17" s="2"/>
      <c r="I17" s="2"/>
      <c r="J17" s="2"/>
    </row>
    <row r="18" spans="6:10" ht="22.25" customHeight="1">
      <c r="F18" s="2"/>
      <c r="G18" s="2"/>
      <c r="H18" s="2"/>
      <c r="I18" s="2"/>
      <c r="J18" s="2"/>
    </row>
    <row r="19" spans="6:10" ht="17.399999999999999" customHeight="1">
      <c r="F19" s="2"/>
      <c r="G19" s="2"/>
      <c r="H19" s="2"/>
      <c r="I19" s="2"/>
      <c r="J19" s="2"/>
    </row>
  </sheetData>
  <mergeCells count="1">
    <mergeCell ref="G4:I4"/>
  </mergeCells>
  <dataValidations count="1">
    <dataValidation type="date" operator="greaterThan" allowBlank="1" showInputMessage="1" showErrorMessage="1" error="Veuillez saisir une date correcte" sqref="I7">
      <formula1>44561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1:AX13"/>
  <sheetViews>
    <sheetView showGridLines="0" tabSelected="1" zoomScale="58" zoomScaleNormal="62" workbookViewId="0">
      <selection activeCell="V23" sqref="V23"/>
    </sheetView>
  </sheetViews>
  <sheetFormatPr baseColWidth="10" defaultRowHeight="14.5"/>
  <cols>
    <col min="1" max="1" width="12.36328125" customWidth="1"/>
    <col min="2" max="2" width="12" customWidth="1"/>
    <col min="3" max="3" width="10.54296875" customWidth="1"/>
    <col min="4" max="16" width="10.90625" style="1"/>
    <col min="17" max="17" width="12.81640625" style="1" customWidth="1"/>
    <col min="18" max="18" width="10.90625" style="1" customWidth="1"/>
    <col min="19" max="50" width="10.90625" style="1"/>
  </cols>
  <sheetData>
    <row r="1" spans="2:18" ht="46" customHeight="1">
      <c r="P1" s="69" t="s">
        <v>87</v>
      </c>
      <c r="Q1" s="69"/>
      <c r="R1" s="66">
        <v>45501</v>
      </c>
    </row>
    <row r="2" spans="2:18">
      <c r="R2" s="65"/>
    </row>
    <row r="3" spans="2:18">
      <c r="R3" s="67"/>
    </row>
    <row r="13" spans="2:18">
      <c r="B13" s="64"/>
    </row>
  </sheetData>
  <mergeCells count="1">
    <mergeCell ref="P1:Q1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31"/>
  <sheetViews>
    <sheetView showGridLines="0" topLeftCell="C12" zoomScale="115" zoomScaleNormal="115" workbookViewId="0">
      <selection activeCell="G11" sqref="G11"/>
    </sheetView>
  </sheetViews>
  <sheetFormatPr baseColWidth="10" defaultColWidth="8.90625" defaultRowHeight="14.5"/>
  <cols>
    <col min="1" max="1" width="11.81640625" style="1" customWidth="1"/>
    <col min="2" max="2" width="7.81640625" style="1" customWidth="1"/>
    <col min="3" max="3" width="15.08984375" style="1" customWidth="1"/>
    <col min="4" max="4" width="31.1796875" style="1" customWidth="1"/>
    <col min="5" max="5" width="20" style="1" customWidth="1"/>
    <col min="6" max="6" width="20.54296875" style="1" customWidth="1"/>
    <col min="7" max="7" width="14.08984375" style="1" customWidth="1"/>
    <col min="8" max="8" width="13.1796875" style="1" customWidth="1"/>
    <col min="9" max="9" width="13" style="1" customWidth="1"/>
    <col min="10" max="10" width="14" style="1" customWidth="1"/>
    <col min="11" max="11" width="7.81640625" style="1" customWidth="1"/>
    <col min="12" max="17" width="11.81640625" style="1" customWidth="1"/>
    <col min="18" max="19" width="9.81640625" style="1" customWidth="1"/>
    <col min="20" max="16384" width="8.90625" style="1"/>
  </cols>
  <sheetData>
    <row r="1" spans="1:14" ht="22.25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 ht="13.75" customHeight="1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4" ht="26.4" customHeight="1">
      <c r="A3" s="5"/>
      <c r="B3" s="9"/>
      <c r="C3" s="70" t="s">
        <v>42</v>
      </c>
      <c r="D3" s="70"/>
      <c r="E3" s="70"/>
      <c r="F3" s="8"/>
      <c r="G3" s="8"/>
      <c r="H3" s="8"/>
      <c r="I3" s="8"/>
      <c r="J3" s="3"/>
      <c r="K3" s="2"/>
      <c r="L3" s="5"/>
      <c r="M3" s="5"/>
      <c r="N3" s="5"/>
    </row>
    <row r="4" spans="1:14" ht="15" customHeight="1">
      <c r="B4" s="9"/>
      <c r="C4" s="68" t="s">
        <v>48</v>
      </c>
      <c r="D4" s="68"/>
      <c r="E4" s="12"/>
      <c r="F4" s="12"/>
      <c r="G4" s="12"/>
      <c r="H4" s="12"/>
      <c r="I4" s="12"/>
      <c r="J4" s="12"/>
      <c r="K4" s="2"/>
      <c r="L4" s="5"/>
      <c r="M4" s="5"/>
      <c r="N4" s="5"/>
    </row>
    <row r="5" spans="1:14" ht="15" thickBot="1">
      <c r="B5" s="2"/>
      <c r="C5" s="2"/>
      <c r="D5" s="2"/>
      <c r="E5" s="2"/>
      <c r="F5" s="2"/>
      <c r="G5" s="2"/>
      <c r="H5" s="2"/>
      <c r="I5" s="2"/>
      <c r="J5" s="3"/>
      <c r="K5" s="2"/>
    </row>
    <row r="6" spans="1:14" ht="18" customHeight="1" thickTop="1" thickBot="1">
      <c r="B6" s="2"/>
      <c r="C6" s="26" t="s">
        <v>14</v>
      </c>
      <c r="D6" s="44"/>
      <c r="E6" s="28" t="s">
        <v>25</v>
      </c>
      <c r="F6" s="44">
        <v>0</v>
      </c>
      <c r="G6" s="2"/>
      <c r="H6" s="2"/>
      <c r="I6" s="2"/>
      <c r="J6" s="2"/>
      <c r="K6" s="2"/>
    </row>
    <row r="7" spans="1:14" ht="18" customHeight="1" thickTop="1" thickBot="1">
      <c r="B7" s="2"/>
      <c r="C7" s="27" t="s">
        <v>0</v>
      </c>
      <c r="D7" s="44"/>
      <c r="E7" s="26" t="s">
        <v>26</v>
      </c>
      <c r="F7" s="44">
        <v>0</v>
      </c>
      <c r="G7" s="2"/>
      <c r="H7" s="2"/>
      <c r="I7" s="2"/>
      <c r="J7" s="2"/>
      <c r="K7" s="2"/>
    </row>
    <row r="8" spans="1:14" ht="18" customHeight="1" thickTop="1" thickBot="1">
      <c r="B8" s="2"/>
      <c r="C8" s="27" t="s">
        <v>15</v>
      </c>
      <c r="D8" s="44"/>
      <c r="E8" s="26" t="s">
        <v>27</v>
      </c>
      <c r="F8" s="46">
        <v>0</v>
      </c>
      <c r="G8" s="2"/>
      <c r="H8" s="2"/>
      <c r="I8" s="2"/>
      <c r="J8" s="2"/>
      <c r="K8" s="2"/>
    </row>
    <row r="9" spans="1:14" ht="18" customHeight="1" thickTop="1" thickBot="1">
      <c r="B9" s="2"/>
      <c r="C9" s="27" t="s">
        <v>24</v>
      </c>
      <c r="D9" s="44"/>
      <c r="E9" s="26" t="s">
        <v>23</v>
      </c>
      <c r="F9" s="45">
        <f>F7*F8</f>
        <v>0</v>
      </c>
      <c r="G9" s="2"/>
      <c r="H9" s="2"/>
      <c r="I9" s="2"/>
      <c r="J9" s="2"/>
      <c r="K9" s="2"/>
    </row>
    <row r="10" spans="1:14" ht="18" customHeight="1" thickTop="1"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4" ht="10.75" customHeight="1">
      <c r="B11" s="2"/>
      <c r="C11" s="2"/>
      <c r="D11" s="2"/>
      <c r="E11" s="2"/>
      <c r="F11" s="2"/>
      <c r="G11" s="2"/>
      <c r="H11" s="2"/>
      <c r="I11" s="2"/>
      <c r="J11" s="2"/>
      <c r="K11" s="2"/>
    </row>
    <row r="12" spans="1:14" ht="18" customHeight="1">
      <c r="B12" s="2"/>
      <c r="C12" s="70" t="s">
        <v>43</v>
      </c>
      <c r="D12" s="70"/>
      <c r="E12" s="70"/>
      <c r="F12" s="2"/>
      <c r="G12" s="2"/>
      <c r="H12" s="2"/>
      <c r="I12" s="2"/>
      <c r="J12" s="2"/>
      <c r="K12" s="2"/>
    </row>
    <row r="13" spans="1:14" ht="6" customHeight="1">
      <c r="B13" s="2"/>
      <c r="C13" s="10"/>
      <c r="D13" s="10"/>
      <c r="E13" s="10"/>
      <c r="F13" s="2"/>
      <c r="G13" s="2"/>
      <c r="H13" s="2"/>
      <c r="I13" s="2"/>
      <c r="J13" s="2"/>
      <c r="K13" s="2"/>
    </row>
    <row r="14" spans="1:14" ht="18" customHeight="1">
      <c r="A14" s="6"/>
      <c r="B14" s="9"/>
      <c r="C14" s="11" t="s">
        <v>14</v>
      </c>
      <c r="D14" s="11" t="s">
        <v>0</v>
      </c>
      <c r="E14" s="11" t="s">
        <v>15</v>
      </c>
      <c r="F14" s="11" t="s">
        <v>8</v>
      </c>
      <c r="G14" s="11" t="s">
        <v>3</v>
      </c>
      <c r="H14" s="11" t="s">
        <v>10</v>
      </c>
      <c r="I14" s="11" t="s">
        <v>9</v>
      </c>
      <c r="J14" s="11" t="s">
        <v>6</v>
      </c>
      <c r="K14" s="9"/>
    </row>
    <row r="15" spans="1:14" ht="18" customHeight="1">
      <c r="A15" s="6"/>
      <c r="B15" s="9"/>
      <c r="C15" s="49" t="s">
        <v>53</v>
      </c>
      <c r="D15" s="49" t="s">
        <v>66</v>
      </c>
      <c r="E15" s="49" t="s">
        <v>58</v>
      </c>
      <c r="F15" s="47" t="s">
        <v>32</v>
      </c>
      <c r="G15" s="51">
        <v>10</v>
      </c>
      <c r="H15" s="51">
        <v>3</v>
      </c>
      <c r="I15" s="50">
        <v>1400</v>
      </c>
      <c r="J15" s="50">
        <f>listeProduits[[#This Row],[Stock initial]]*listeProduits[[#This Row],[Prix unitaire]]</f>
        <v>4200</v>
      </c>
      <c r="K15" s="9"/>
    </row>
    <row r="16" spans="1:14" ht="18" customHeight="1">
      <c r="A16" s="6"/>
      <c r="B16" s="9"/>
      <c r="C16" s="49" t="s">
        <v>36</v>
      </c>
      <c r="D16" s="49" t="s">
        <v>50</v>
      </c>
      <c r="E16" s="49" t="s">
        <v>59</v>
      </c>
      <c r="F16" s="47" t="s">
        <v>32</v>
      </c>
      <c r="G16" s="51">
        <v>10</v>
      </c>
      <c r="H16" s="51">
        <v>6</v>
      </c>
      <c r="I16" s="50">
        <v>400</v>
      </c>
      <c r="J16" s="50">
        <f>listeProduits[[#This Row],[Stock initial]]*listeProduits[[#This Row],[Prix unitaire]]</f>
        <v>2400</v>
      </c>
      <c r="K16" s="9"/>
    </row>
    <row r="17" spans="1:11" ht="18" customHeight="1">
      <c r="A17" s="6"/>
      <c r="B17" s="9"/>
      <c r="C17" s="49" t="s">
        <v>35</v>
      </c>
      <c r="D17" s="49" t="s">
        <v>49</v>
      </c>
      <c r="E17" s="49" t="s">
        <v>59</v>
      </c>
      <c r="F17" s="47" t="s">
        <v>32</v>
      </c>
      <c r="G17" s="51">
        <v>10</v>
      </c>
      <c r="H17" s="51">
        <v>3</v>
      </c>
      <c r="I17" s="50">
        <v>750</v>
      </c>
      <c r="J17" s="50">
        <f>listeProduits[[#This Row],[Stock initial]]*listeProduits[[#This Row],[Prix unitaire]]</f>
        <v>2250</v>
      </c>
      <c r="K17" s="9"/>
    </row>
    <row r="18" spans="1:11" ht="18" customHeight="1">
      <c r="A18" s="6"/>
      <c r="B18" s="9"/>
      <c r="C18" s="49" t="s">
        <v>41</v>
      </c>
      <c r="D18" s="49" t="s">
        <v>61</v>
      </c>
      <c r="E18" s="49" t="s">
        <v>60</v>
      </c>
      <c r="F18" s="47" t="s">
        <v>32</v>
      </c>
      <c r="G18" s="51">
        <v>10</v>
      </c>
      <c r="H18" s="51">
        <v>0</v>
      </c>
      <c r="I18" s="50">
        <v>0</v>
      </c>
      <c r="J18" s="50">
        <f>listeProduits[[#This Row],[Stock initial]]*listeProduits[[#This Row],[Prix unitaire]]</f>
        <v>0</v>
      </c>
      <c r="K18" s="9"/>
    </row>
    <row r="19" spans="1:11" ht="18" customHeight="1">
      <c r="A19" s="6"/>
      <c r="B19" s="9"/>
      <c r="C19" s="49" t="s">
        <v>40</v>
      </c>
      <c r="D19" s="49" t="s">
        <v>62</v>
      </c>
      <c r="E19" s="49" t="s">
        <v>60</v>
      </c>
      <c r="F19" s="47" t="s">
        <v>32</v>
      </c>
      <c r="G19" s="51">
        <v>10</v>
      </c>
      <c r="H19" s="51">
        <v>6</v>
      </c>
      <c r="I19" s="50">
        <v>150</v>
      </c>
      <c r="J19" s="50">
        <f>listeProduits[[#This Row],[Stock initial]]*listeProduits[[#This Row],[Prix unitaire]]</f>
        <v>900</v>
      </c>
      <c r="K19" s="9"/>
    </row>
    <row r="20" spans="1:11" ht="18" customHeight="1">
      <c r="A20" s="6"/>
      <c r="B20" s="9"/>
      <c r="C20" s="49" t="s">
        <v>39</v>
      </c>
      <c r="D20" s="49" t="s">
        <v>63</v>
      </c>
      <c r="E20" s="49" t="s">
        <v>60</v>
      </c>
      <c r="F20" s="47" t="s">
        <v>32</v>
      </c>
      <c r="G20" s="51">
        <v>10</v>
      </c>
      <c r="H20" s="51">
        <v>3</v>
      </c>
      <c r="I20" s="50">
        <v>300</v>
      </c>
      <c r="J20" s="50">
        <f>listeProduits[[#This Row],[Stock initial]]*listeProduits[[#This Row],[Prix unitaire]]</f>
        <v>900</v>
      </c>
      <c r="K20" s="9"/>
    </row>
    <row r="21" spans="1:11" ht="18" customHeight="1">
      <c r="A21" s="6"/>
      <c r="B21" s="9"/>
      <c r="C21" s="49" t="s">
        <v>38</v>
      </c>
      <c r="D21" s="49" t="s">
        <v>64</v>
      </c>
      <c r="E21" s="49" t="s">
        <v>60</v>
      </c>
      <c r="F21" s="47" t="s">
        <v>32</v>
      </c>
      <c r="G21" s="51">
        <v>10</v>
      </c>
      <c r="H21" s="51">
        <v>5</v>
      </c>
      <c r="I21" s="50">
        <v>700</v>
      </c>
      <c r="J21" s="50">
        <f>listeProduits[[#This Row],[Stock initial]]*listeProduits[[#This Row],[Prix unitaire]]</f>
        <v>3500</v>
      </c>
      <c r="K21" s="9"/>
    </row>
    <row r="22" spans="1:11" ht="18" customHeight="1">
      <c r="A22" s="6"/>
      <c r="B22" s="9"/>
      <c r="C22" s="47" t="s">
        <v>52</v>
      </c>
      <c r="D22" s="47" t="s">
        <v>51</v>
      </c>
      <c r="E22" s="47" t="s">
        <v>58</v>
      </c>
      <c r="F22" s="47" t="s">
        <v>32</v>
      </c>
      <c r="G22" s="51">
        <v>10</v>
      </c>
      <c r="H22" s="51">
        <v>20</v>
      </c>
      <c r="I22" s="48">
        <v>600</v>
      </c>
      <c r="J22" s="48">
        <f>listeProduits[[#This Row],[Stock initial]]*listeProduits[[#This Row],[Prix unitaire]]</f>
        <v>12000</v>
      </c>
      <c r="K22" s="9"/>
    </row>
    <row r="23" spans="1:11" ht="18" customHeight="1">
      <c r="A23" s="6"/>
      <c r="B23" s="9"/>
      <c r="C23" s="13" t="s">
        <v>54</v>
      </c>
      <c r="D23" s="13" t="s">
        <v>18</v>
      </c>
      <c r="E23" s="13" t="s">
        <v>19</v>
      </c>
      <c r="F23" s="13" t="s">
        <v>20</v>
      </c>
      <c r="G23" s="15">
        <v>10</v>
      </c>
      <c r="H23" s="15">
        <v>10</v>
      </c>
      <c r="I23" s="14">
        <v>0.2</v>
      </c>
      <c r="J23" s="14">
        <f>listeProduits[[#This Row],[Stock initial]]*listeProduits[[#This Row],[Prix unitaire]]</f>
        <v>2</v>
      </c>
      <c r="K23" s="9"/>
    </row>
    <row r="24" spans="1:11" ht="18" customHeight="1">
      <c r="A24" s="6"/>
      <c r="B24" s="9"/>
      <c r="C24" s="13" t="s">
        <v>55</v>
      </c>
      <c r="D24" s="13" t="s">
        <v>18</v>
      </c>
      <c r="E24" s="13" t="s">
        <v>19</v>
      </c>
      <c r="F24" s="13" t="s">
        <v>21</v>
      </c>
      <c r="G24" s="15">
        <v>50</v>
      </c>
      <c r="H24" s="15">
        <v>15</v>
      </c>
      <c r="I24" s="14">
        <v>2</v>
      </c>
      <c r="J24" s="14">
        <f>listeProduits[[#This Row],[Stock initial]]*listeProduits[[#This Row],[Prix unitaire]]</f>
        <v>30</v>
      </c>
      <c r="K24" s="9"/>
    </row>
    <row r="25" spans="1:11" ht="18" customHeight="1">
      <c r="B25" s="9"/>
      <c r="C25" s="13" t="s">
        <v>56</v>
      </c>
      <c r="D25" s="13" t="s">
        <v>18</v>
      </c>
      <c r="E25" s="13" t="s">
        <v>19</v>
      </c>
      <c r="F25" s="13" t="s">
        <v>22</v>
      </c>
      <c r="G25" s="15">
        <v>20</v>
      </c>
      <c r="H25" s="15">
        <v>5</v>
      </c>
      <c r="I25" s="14">
        <v>4</v>
      </c>
      <c r="J25" s="14">
        <f>listeProduits[[#This Row],[Stock initial]]*listeProduits[[#This Row],[Prix unitaire]]</f>
        <v>20</v>
      </c>
      <c r="K25" s="9"/>
    </row>
    <row r="26" spans="1:11" ht="18" customHeight="1">
      <c r="B26" s="2"/>
      <c r="C26" s="2"/>
      <c r="D26" s="2"/>
      <c r="E26" s="2"/>
      <c r="F26" s="2"/>
      <c r="G26" s="2"/>
      <c r="H26" s="2"/>
      <c r="I26" s="2"/>
      <c r="J26" s="2"/>
    </row>
    <row r="27" spans="1:11" ht="18" customHeight="1">
      <c r="B27" s="2"/>
      <c r="C27" s="2"/>
      <c r="D27" s="2"/>
      <c r="E27" s="2"/>
      <c r="F27" s="2"/>
      <c r="G27" s="2"/>
      <c r="H27" s="2"/>
      <c r="I27" s="2"/>
      <c r="J27" s="2"/>
    </row>
    <row r="28" spans="1:11" ht="18" customHeight="1"/>
    <row r="29" spans="1:11" ht="20" customHeight="1"/>
    <row r="31" spans="1:11">
      <c r="E31" s="55"/>
    </row>
  </sheetData>
  <mergeCells count="3">
    <mergeCell ref="C3:E3"/>
    <mergeCell ref="C4:D4"/>
    <mergeCell ref="C12:E12"/>
  </mergeCells>
  <phoneticPr fontId="14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P67"/>
  <sheetViews>
    <sheetView topLeftCell="C49" zoomScale="115" zoomScaleNormal="115" workbookViewId="0">
      <selection activeCell="D13" sqref="D13"/>
    </sheetView>
  </sheetViews>
  <sheetFormatPr baseColWidth="10" defaultColWidth="8.90625" defaultRowHeight="14.5"/>
  <cols>
    <col min="1" max="1" width="8.08984375" style="1" customWidth="1"/>
    <col min="2" max="2" width="8.81640625" style="1" customWidth="1"/>
    <col min="3" max="3" width="9.453125" style="1" customWidth="1"/>
    <col min="4" max="4" width="12.6328125" style="1" customWidth="1"/>
    <col min="5" max="5" width="11.54296875" style="1" customWidth="1"/>
    <col min="6" max="6" width="28.1796875" style="1" customWidth="1"/>
    <col min="7" max="7" width="19.90625" style="1" customWidth="1"/>
    <col min="8" max="8" width="17.90625" style="1" customWidth="1"/>
    <col min="9" max="9" width="14" style="1" customWidth="1"/>
    <col min="10" max="10" width="10.54296875" style="42" customWidth="1"/>
    <col min="11" max="11" width="21.36328125" style="1" customWidth="1"/>
    <col min="12" max="12" width="8.81640625" style="1" customWidth="1"/>
    <col min="13" max="24" width="12.81640625" style="1" customWidth="1"/>
    <col min="25" max="16384" width="8.90625" style="1"/>
  </cols>
  <sheetData>
    <row r="1" spans="1:16" ht="22.25" customHeight="1">
      <c r="A1" s="4"/>
      <c r="B1" s="4"/>
      <c r="C1" s="4"/>
      <c r="D1" s="4"/>
      <c r="E1" s="4"/>
      <c r="F1" s="4"/>
      <c r="G1" s="4"/>
      <c r="H1" s="4"/>
      <c r="I1" s="4"/>
      <c r="J1" s="40"/>
      <c r="K1" s="4"/>
      <c r="L1" s="4"/>
      <c r="M1" s="4"/>
      <c r="N1" s="4"/>
      <c r="O1" s="4"/>
      <c r="P1" s="4"/>
    </row>
    <row r="2" spans="1:16" ht="13.75" customHeight="1">
      <c r="A2" s="4"/>
      <c r="B2" s="4"/>
      <c r="C2" s="4"/>
      <c r="D2" s="4"/>
      <c r="E2" s="4"/>
      <c r="F2" s="4"/>
      <c r="G2" s="4"/>
      <c r="H2" s="4"/>
      <c r="I2" s="4"/>
      <c r="J2" s="40"/>
      <c r="K2" s="4"/>
      <c r="L2" s="4"/>
      <c r="M2" s="4"/>
      <c r="N2" s="4"/>
      <c r="O2" s="4"/>
      <c r="P2" s="4"/>
    </row>
    <row r="3" spans="1:16" ht="26.4" customHeight="1">
      <c r="A3" s="5"/>
      <c r="B3" s="9"/>
      <c r="C3" s="70" t="s">
        <v>44</v>
      </c>
      <c r="D3" s="70"/>
      <c r="E3" s="70"/>
      <c r="F3" s="70"/>
      <c r="G3" s="70"/>
      <c r="H3" s="70"/>
      <c r="I3" s="70"/>
      <c r="J3" s="70"/>
      <c r="K3" s="70"/>
      <c r="L3" s="3"/>
      <c r="M3" s="5"/>
      <c r="N3" s="5"/>
      <c r="O3" s="5"/>
      <c r="P3" s="5"/>
    </row>
    <row r="4" spans="1:16" ht="16.75" customHeight="1">
      <c r="A4" s="5"/>
      <c r="B4" s="9"/>
      <c r="C4" s="68" t="s">
        <v>47</v>
      </c>
      <c r="D4" s="68"/>
      <c r="E4" s="68"/>
      <c r="F4" s="68"/>
      <c r="G4" s="68"/>
      <c r="H4" s="68"/>
      <c r="I4" s="68"/>
      <c r="J4" s="68"/>
      <c r="K4" s="12"/>
      <c r="L4" s="12"/>
      <c r="M4" s="5"/>
      <c r="N4" s="5"/>
      <c r="O4" s="5"/>
      <c r="P4" s="5"/>
    </row>
    <row r="5" spans="1:16">
      <c r="B5" s="2"/>
      <c r="C5" s="2"/>
      <c r="D5" s="2"/>
      <c r="E5" s="2"/>
      <c r="F5" s="2"/>
      <c r="G5" s="2"/>
      <c r="H5" s="2"/>
      <c r="I5" s="2"/>
      <c r="J5" s="41"/>
      <c r="K5" s="2"/>
      <c r="L5" s="3"/>
    </row>
    <row r="6" spans="1:16" ht="18" customHeight="1">
      <c r="A6" s="6"/>
      <c r="B6" s="9"/>
      <c r="C6" s="11" t="s">
        <v>7</v>
      </c>
      <c r="D6" s="11" t="s">
        <v>2</v>
      </c>
      <c r="E6" s="11" t="s">
        <v>14</v>
      </c>
      <c r="F6" s="11" t="s">
        <v>0</v>
      </c>
      <c r="G6" s="11" t="s">
        <v>15</v>
      </c>
      <c r="H6" s="11" t="s">
        <v>8</v>
      </c>
      <c r="I6" s="11" t="s">
        <v>57</v>
      </c>
      <c r="J6" s="11" t="s">
        <v>1</v>
      </c>
      <c r="K6" s="11" t="s">
        <v>6</v>
      </c>
      <c r="L6" s="9"/>
    </row>
    <row r="7" spans="1:16" ht="18" customHeight="1">
      <c r="A7" s="6"/>
      <c r="B7" s="9"/>
      <c r="C7" s="51">
        <f>C8+1</f>
        <v>57</v>
      </c>
      <c r="D7" s="54">
        <v>44698</v>
      </c>
      <c r="E7" s="49" t="s">
        <v>55</v>
      </c>
      <c r="F7" s="49" t="s">
        <v>18</v>
      </c>
      <c r="G7" s="49" t="s">
        <v>19</v>
      </c>
      <c r="H7" s="49" t="s">
        <v>21</v>
      </c>
      <c r="I7" s="52">
        <v>2</v>
      </c>
      <c r="J7" s="53">
        <v>25</v>
      </c>
      <c r="K7" s="50">
        <f>listeAchats[[#This Row],[Coût d''achat]]*listeAchats[[#This Row],[Quantité]]</f>
        <v>50</v>
      </c>
      <c r="L7" s="9"/>
    </row>
    <row r="8" spans="1:16" ht="18" customHeight="1">
      <c r="A8" s="6"/>
      <c r="B8" s="9"/>
      <c r="C8" s="51">
        <f>C9+1</f>
        <v>56</v>
      </c>
      <c r="D8" s="54">
        <v>44698</v>
      </c>
      <c r="E8" s="49" t="s">
        <v>38</v>
      </c>
      <c r="F8" s="49" t="s">
        <v>64</v>
      </c>
      <c r="G8" s="49" t="s">
        <v>60</v>
      </c>
      <c r="H8" s="49" t="s">
        <v>32</v>
      </c>
      <c r="I8" s="52">
        <v>700</v>
      </c>
      <c r="J8" s="53">
        <v>5</v>
      </c>
      <c r="K8" s="50">
        <f>listeAchats[[#This Row],[Coût d''achat]]*listeAchats[[#This Row],[Quantité]]</f>
        <v>3500</v>
      </c>
      <c r="L8" s="9"/>
    </row>
    <row r="9" spans="1:16" ht="18" customHeight="1">
      <c r="A9" s="6"/>
      <c r="B9" s="9"/>
      <c r="C9" s="51">
        <f t="shared" ref="C9:C40" si="0">C10+1</f>
        <v>55</v>
      </c>
      <c r="D9" s="54">
        <v>44686</v>
      </c>
      <c r="E9" s="49" t="s">
        <v>41</v>
      </c>
      <c r="F9" s="49" t="s">
        <v>61</v>
      </c>
      <c r="G9" s="49" t="s">
        <v>60</v>
      </c>
      <c r="H9" s="49" t="s">
        <v>32</v>
      </c>
      <c r="I9" s="52">
        <v>500</v>
      </c>
      <c r="J9" s="53">
        <v>10</v>
      </c>
      <c r="K9" s="50">
        <f>listeAchats[[#This Row],[Coût d''achat]]*listeAchats[[#This Row],[Quantité]]</f>
        <v>5000</v>
      </c>
      <c r="L9" s="9"/>
    </row>
    <row r="10" spans="1:16" ht="18" customHeight="1">
      <c r="A10" s="6"/>
      <c r="B10" s="9"/>
      <c r="C10" s="51">
        <f t="shared" si="0"/>
        <v>54</v>
      </c>
      <c r="D10" s="54">
        <v>44656</v>
      </c>
      <c r="E10" s="49" t="s">
        <v>41</v>
      </c>
      <c r="F10" s="49" t="s">
        <v>61</v>
      </c>
      <c r="G10" s="49" t="s">
        <v>60</v>
      </c>
      <c r="H10" s="49" t="s">
        <v>32</v>
      </c>
      <c r="I10" s="52">
        <v>500</v>
      </c>
      <c r="J10" s="53">
        <v>10</v>
      </c>
      <c r="K10" s="50">
        <f>listeAchats[[#This Row],[Coût d''achat]]*listeAchats[[#This Row],[Quantité]]</f>
        <v>5000</v>
      </c>
      <c r="L10" s="9"/>
    </row>
    <row r="11" spans="1:16" ht="18" customHeight="1">
      <c r="A11" s="6"/>
      <c r="B11" s="9"/>
      <c r="C11" s="51">
        <f t="shared" si="0"/>
        <v>53</v>
      </c>
      <c r="D11" s="54">
        <v>44623</v>
      </c>
      <c r="E11" s="49" t="s">
        <v>41</v>
      </c>
      <c r="F11" s="49" t="s">
        <v>61</v>
      </c>
      <c r="G11" s="49" t="s">
        <v>60</v>
      </c>
      <c r="H11" s="49" t="s">
        <v>32</v>
      </c>
      <c r="I11" s="52">
        <v>500</v>
      </c>
      <c r="J11" s="53">
        <v>10</v>
      </c>
      <c r="K11" s="50">
        <f>listeAchats[[#This Row],[Coût d''achat]]*listeAchats[[#This Row],[Quantité]]</f>
        <v>5000</v>
      </c>
      <c r="L11" s="9"/>
    </row>
    <row r="12" spans="1:16" ht="18" customHeight="1">
      <c r="A12" s="6"/>
      <c r="B12" s="9"/>
      <c r="C12" s="51">
        <f t="shared" si="0"/>
        <v>52</v>
      </c>
      <c r="D12" s="54">
        <v>44595</v>
      </c>
      <c r="E12" s="49" t="s">
        <v>41</v>
      </c>
      <c r="F12" s="49" t="s">
        <v>61</v>
      </c>
      <c r="G12" s="49" t="s">
        <v>60</v>
      </c>
      <c r="H12" s="49" t="s">
        <v>32</v>
      </c>
      <c r="I12" s="52">
        <v>500</v>
      </c>
      <c r="J12" s="53">
        <v>10</v>
      </c>
      <c r="K12" s="50">
        <f>listeAchats[[#This Row],[Coût d''achat]]*listeAchats[[#This Row],[Quantité]]</f>
        <v>5000</v>
      </c>
      <c r="L12" s="9"/>
    </row>
    <row r="13" spans="1:16" ht="18" customHeight="1">
      <c r="A13" s="6"/>
      <c r="B13" s="9"/>
      <c r="C13" s="51">
        <f t="shared" si="0"/>
        <v>51</v>
      </c>
      <c r="D13" s="54">
        <v>44581</v>
      </c>
      <c r="E13" s="49" t="s">
        <v>41</v>
      </c>
      <c r="F13" s="49" t="s">
        <v>61</v>
      </c>
      <c r="G13" s="49" t="s">
        <v>60</v>
      </c>
      <c r="H13" s="49" t="s">
        <v>32</v>
      </c>
      <c r="I13" s="52">
        <v>500</v>
      </c>
      <c r="J13" s="53">
        <v>20</v>
      </c>
      <c r="K13" s="50">
        <f>listeAchats[[#This Row],[Coût d''achat]]*listeAchats[[#This Row],[Quantité]]</f>
        <v>10000</v>
      </c>
      <c r="L13" s="9"/>
    </row>
    <row r="14" spans="1:16" ht="18" customHeight="1">
      <c r="A14" s="6"/>
      <c r="B14" s="9"/>
      <c r="C14" s="51">
        <f t="shared" si="0"/>
        <v>50</v>
      </c>
      <c r="D14" s="54">
        <v>44685</v>
      </c>
      <c r="E14" s="49" t="s">
        <v>40</v>
      </c>
      <c r="F14" s="49" t="s">
        <v>62</v>
      </c>
      <c r="G14" s="49" t="s">
        <v>60</v>
      </c>
      <c r="H14" s="49" t="s">
        <v>32</v>
      </c>
      <c r="I14" s="52">
        <v>150</v>
      </c>
      <c r="J14" s="53">
        <v>5</v>
      </c>
      <c r="K14" s="50">
        <f>listeAchats[[#This Row],[Coût d''achat]]*listeAchats[[#This Row],[Quantité]]</f>
        <v>750</v>
      </c>
      <c r="L14" s="9"/>
    </row>
    <row r="15" spans="1:16" ht="18" customHeight="1">
      <c r="A15" s="6"/>
      <c r="B15" s="9"/>
      <c r="C15" s="51">
        <f t="shared" si="0"/>
        <v>49</v>
      </c>
      <c r="D15" s="54">
        <v>44655</v>
      </c>
      <c r="E15" s="49" t="s">
        <v>40</v>
      </c>
      <c r="F15" s="49" t="s">
        <v>62</v>
      </c>
      <c r="G15" s="49" t="s">
        <v>60</v>
      </c>
      <c r="H15" s="49" t="s">
        <v>32</v>
      </c>
      <c r="I15" s="52">
        <v>150</v>
      </c>
      <c r="J15" s="53">
        <v>10</v>
      </c>
      <c r="K15" s="50">
        <f>listeAchats[[#This Row],[Coût d''achat]]*listeAchats[[#This Row],[Quantité]]</f>
        <v>1500</v>
      </c>
      <c r="L15" s="9"/>
    </row>
    <row r="16" spans="1:16" ht="18" customHeight="1">
      <c r="A16" s="6"/>
      <c r="B16" s="9"/>
      <c r="C16" s="51">
        <f t="shared" si="0"/>
        <v>48</v>
      </c>
      <c r="D16" s="54">
        <v>44623</v>
      </c>
      <c r="E16" s="49" t="s">
        <v>40</v>
      </c>
      <c r="F16" s="49" t="s">
        <v>62</v>
      </c>
      <c r="G16" s="49" t="s">
        <v>60</v>
      </c>
      <c r="H16" s="49" t="s">
        <v>32</v>
      </c>
      <c r="I16" s="52">
        <v>150</v>
      </c>
      <c r="J16" s="53">
        <v>20</v>
      </c>
      <c r="K16" s="50">
        <f>listeAchats[[#This Row],[Coût d''achat]]*listeAchats[[#This Row],[Quantité]]</f>
        <v>3000</v>
      </c>
      <c r="L16" s="9"/>
    </row>
    <row r="17" spans="1:12" ht="18" customHeight="1">
      <c r="A17" s="6"/>
      <c r="B17" s="9"/>
      <c r="C17" s="51">
        <f t="shared" si="0"/>
        <v>47</v>
      </c>
      <c r="D17" s="54">
        <v>44594</v>
      </c>
      <c r="E17" s="49" t="s">
        <v>40</v>
      </c>
      <c r="F17" s="49" t="s">
        <v>62</v>
      </c>
      <c r="G17" s="49" t="s">
        <v>60</v>
      </c>
      <c r="H17" s="49" t="s">
        <v>32</v>
      </c>
      <c r="I17" s="52">
        <v>150</v>
      </c>
      <c r="J17" s="53">
        <v>10</v>
      </c>
      <c r="K17" s="50">
        <f>listeAchats[[#This Row],[Coût d''achat]]*listeAchats[[#This Row],[Quantité]]</f>
        <v>1500</v>
      </c>
      <c r="L17" s="9"/>
    </row>
    <row r="18" spans="1:12" ht="18" customHeight="1">
      <c r="A18" s="6"/>
      <c r="B18" s="9"/>
      <c r="C18" s="51">
        <f t="shared" si="0"/>
        <v>46</v>
      </c>
      <c r="D18" s="54">
        <v>44562</v>
      </c>
      <c r="E18" s="49" t="s">
        <v>40</v>
      </c>
      <c r="F18" s="49" t="s">
        <v>62</v>
      </c>
      <c r="G18" s="49" t="s">
        <v>60</v>
      </c>
      <c r="H18" s="49" t="s">
        <v>32</v>
      </c>
      <c r="I18" s="52">
        <v>150</v>
      </c>
      <c r="J18" s="53">
        <v>20</v>
      </c>
      <c r="K18" s="50">
        <f>listeAchats[[#This Row],[Coût d''achat]]*listeAchats[[#This Row],[Quantité]]</f>
        <v>3000</v>
      </c>
      <c r="L18" s="9"/>
    </row>
    <row r="19" spans="1:12" ht="18" customHeight="1">
      <c r="A19" s="6"/>
      <c r="B19" s="9"/>
      <c r="C19" s="51">
        <f t="shared" si="0"/>
        <v>45</v>
      </c>
      <c r="D19" s="54">
        <v>44690</v>
      </c>
      <c r="E19" s="49" t="s">
        <v>39</v>
      </c>
      <c r="F19" s="49" t="s">
        <v>63</v>
      </c>
      <c r="G19" s="49" t="s">
        <v>60</v>
      </c>
      <c r="H19" s="49" t="s">
        <v>32</v>
      </c>
      <c r="I19" s="52">
        <v>300</v>
      </c>
      <c r="J19" s="53">
        <v>4</v>
      </c>
      <c r="K19" s="50">
        <f>listeAchats[[#This Row],[Coût d''achat]]*listeAchats[[#This Row],[Quantité]]</f>
        <v>1200</v>
      </c>
      <c r="L19" s="9"/>
    </row>
    <row r="20" spans="1:12" ht="18" customHeight="1">
      <c r="A20" s="6"/>
      <c r="B20" s="9"/>
      <c r="C20" s="51">
        <f t="shared" si="0"/>
        <v>44</v>
      </c>
      <c r="D20" s="54">
        <v>44655</v>
      </c>
      <c r="E20" s="49" t="s">
        <v>39</v>
      </c>
      <c r="F20" s="49" t="s">
        <v>63</v>
      </c>
      <c r="G20" s="49" t="s">
        <v>60</v>
      </c>
      <c r="H20" s="49" t="s">
        <v>32</v>
      </c>
      <c r="I20" s="52">
        <v>300</v>
      </c>
      <c r="J20" s="53">
        <v>4</v>
      </c>
      <c r="K20" s="50">
        <f>listeAchats[[#This Row],[Coût d''achat]]*listeAchats[[#This Row],[Quantité]]</f>
        <v>1200</v>
      </c>
      <c r="L20" s="9"/>
    </row>
    <row r="21" spans="1:12" ht="18" customHeight="1">
      <c r="A21" s="6"/>
      <c r="B21" s="9"/>
      <c r="C21" s="51">
        <f t="shared" si="0"/>
        <v>43</v>
      </c>
      <c r="D21" s="54">
        <v>44626</v>
      </c>
      <c r="E21" s="49" t="s">
        <v>39</v>
      </c>
      <c r="F21" s="49" t="s">
        <v>63</v>
      </c>
      <c r="G21" s="49" t="s">
        <v>60</v>
      </c>
      <c r="H21" s="49" t="s">
        <v>32</v>
      </c>
      <c r="I21" s="52">
        <v>300</v>
      </c>
      <c r="J21" s="53">
        <v>2</v>
      </c>
      <c r="K21" s="50">
        <f>listeAchats[[#This Row],[Coût d''achat]]*listeAchats[[#This Row],[Quantité]]</f>
        <v>600</v>
      </c>
      <c r="L21" s="9"/>
    </row>
    <row r="22" spans="1:12" ht="18" customHeight="1">
      <c r="A22" s="6"/>
      <c r="B22" s="9"/>
      <c r="C22" s="51">
        <f t="shared" si="0"/>
        <v>42</v>
      </c>
      <c r="D22" s="54">
        <v>44607</v>
      </c>
      <c r="E22" s="49" t="s">
        <v>39</v>
      </c>
      <c r="F22" s="49" t="s">
        <v>63</v>
      </c>
      <c r="G22" s="49" t="s">
        <v>60</v>
      </c>
      <c r="H22" s="49" t="s">
        <v>32</v>
      </c>
      <c r="I22" s="52">
        <v>300</v>
      </c>
      <c r="J22" s="53">
        <v>10</v>
      </c>
      <c r="K22" s="50">
        <f>listeAchats[[#This Row],[Coût d''achat]]*listeAchats[[#This Row],[Quantité]]</f>
        <v>3000</v>
      </c>
      <c r="L22" s="9"/>
    </row>
    <row r="23" spans="1:12" ht="18" customHeight="1">
      <c r="A23" s="6"/>
      <c r="B23" s="9"/>
      <c r="C23" s="51">
        <f t="shared" si="0"/>
        <v>41</v>
      </c>
      <c r="D23" s="54">
        <v>44577</v>
      </c>
      <c r="E23" s="49" t="s">
        <v>39</v>
      </c>
      <c r="F23" s="49" t="s">
        <v>63</v>
      </c>
      <c r="G23" s="49" t="s">
        <v>60</v>
      </c>
      <c r="H23" s="49" t="s">
        <v>32</v>
      </c>
      <c r="I23" s="52">
        <v>300</v>
      </c>
      <c r="J23" s="53">
        <v>20</v>
      </c>
      <c r="K23" s="50">
        <f>listeAchats[[#This Row],[Coût d''achat]]*listeAchats[[#This Row],[Quantité]]</f>
        <v>6000</v>
      </c>
      <c r="L23" s="9"/>
    </row>
    <row r="24" spans="1:12" ht="18" customHeight="1">
      <c r="A24" s="6"/>
      <c r="B24" s="9"/>
      <c r="C24" s="51">
        <f t="shared" si="0"/>
        <v>40</v>
      </c>
      <c r="D24" s="54">
        <v>44687</v>
      </c>
      <c r="E24" s="49" t="s">
        <v>38</v>
      </c>
      <c r="F24" s="49" t="s">
        <v>64</v>
      </c>
      <c r="G24" s="49" t="s">
        <v>60</v>
      </c>
      <c r="H24" s="49" t="s">
        <v>32</v>
      </c>
      <c r="I24" s="52">
        <v>700</v>
      </c>
      <c r="J24" s="53">
        <v>6</v>
      </c>
      <c r="K24" s="50">
        <f>listeAchats[[#This Row],[Coût d''achat]]*listeAchats[[#This Row],[Quantité]]</f>
        <v>4200</v>
      </c>
      <c r="L24" s="9"/>
    </row>
    <row r="25" spans="1:12" ht="18" customHeight="1">
      <c r="A25" s="6"/>
      <c r="B25" s="9"/>
      <c r="C25" s="51">
        <f t="shared" si="0"/>
        <v>39</v>
      </c>
      <c r="D25" s="54">
        <v>44657</v>
      </c>
      <c r="E25" s="49" t="s">
        <v>38</v>
      </c>
      <c r="F25" s="49" t="s">
        <v>64</v>
      </c>
      <c r="G25" s="49" t="s">
        <v>60</v>
      </c>
      <c r="H25" s="49" t="s">
        <v>32</v>
      </c>
      <c r="I25" s="52">
        <v>700</v>
      </c>
      <c r="J25" s="53">
        <v>2</v>
      </c>
      <c r="K25" s="50">
        <f>listeAchats[[#This Row],[Coût d''achat]]*listeAchats[[#This Row],[Quantité]]</f>
        <v>1400</v>
      </c>
      <c r="L25" s="9"/>
    </row>
    <row r="26" spans="1:12" ht="18" customHeight="1">
      <c r="A26" s="6"/>
      <c r="B26" s="9"/>
      <c r="C26" s="51">
        <f t="shared" si="0"/>
        <v>38</v>
      </c>
      <c r="D26" s="54">
        <v>44623</v>
      </c>
      <c r="E26" s="49" t="s">
        <v>38</v>
      </c>
      <c r="F26" s="49" t="s">
        <v>64</v>
      </c>
      <c r="G26" s="49" t="s">
        <v>60</v>
      </c>
      <c r="H26" s="49" t="s">
        <v>32</v>
      </c>
      <c r="I26" s="52">
        <v>700</v>
      </c>
      <c r="J26" s="53">
        <v>4</v>
      </c>
      <c r="K26" s="50">
        <f>listeAchats[[#This Row],[Coût d''achat]]*listeAchats[[#This Row],[Quantité]]</f>
        <v>2800</v>
      </c>
      <c r="L26" s="9"/>
    </row>
    <row r="27" spans="1:12" ht="18" customHeight="1">
      <c r="A27" s="6"/>
      <c r="B27" s="9"/>
      <c r="C27" s="51">
        <f t="shared" si="0"/>
        <v>37</v>
      </c>
      <c r="D27" s="54">
        <v>44595</v>
      </c>
      <c r="E27" s="49" t="s">
        <v>38</v>
      </c>
      <c r="F27" s="49" t="s">
        <v>64</v>
      </c>
      <c r="G27" s="49" t="s">
        <v>60</v>
      </c>
      <c r="H27" s="49" t="s">
        <v>32</v>
      </c>
      <c r="I27" s="52">
        <v>700</v>
      </c>
      <c r="J27" s="53">
        <v>3</v>
      </c>
      <c r="K27" s="50">
        <f>listeAchats[[#This Row],[Coût d''achat]]*listeAchats[[#This Row],[Quantité]]</f>
        <v>2100</v>
      </c>
      <c r="L27" s="9"/>
    </row>
    <row r="28" spans="1:12" ht="18" customHeight="1">
      <c r="A28" s="6"/>
      <c r="B28" s="9"/>
      <c r="C28" s="51">
        <f t="shared" si="0"/>
        <v>36</v>
      </c>
      <c r="D28" s="54">
        <v>44583</v>
      </c>
      <c r="E28" s="49" t="s">
        <v>38</v>
      </c>
      <c r="F28" s="49" t="s">
        <v>64</v>
      </c>
      <c r="G28" s="49" t="s">
        <v>60</v>
      </c>
      <c r="H28" s="49" t="s">
        <v>32</v>
      </c>
      <c r="I28" s="52">
        <v>700</v>
      </c>
      <c r="J28" s="53">
        <v>4</v>
      </c>
      <c r="K28" s="50">
        <f>listeAchats[[#This Row],[Coût d''achat]]*listeAchats[[#This Row],[Quantité]]</f>
        <v>2800</v>
      </c>
      <c r="L28" s="9"/>
    </row>
    <row r="29" spans="1:12" ht="18" customHeight="1">
      <c r="A29" s="6"/>
      <c r="B29" s="9"/>
      <c r="C29" s="51">
        <f t="shared" si="0"/>
        <v>35</v>
      </c>
      <c r="D29" s="54">
        <v>44703</v>
      </c>
      <c r="E29" s="49" t="s">
        <v>36</v>
      </c>
      <c r="F29" s="49" t="s">
        <v>50</v>
      </c>
      <c r="G29" s="49" t="s">
        <v>59</v>
      </c>
      <c r="H29" s="49" t="s">
        <v>32</v>
      </c>
      <c r="I29" s="52">
        <v>405</v>
      </c>
      <c r="J29" s="53">
        <v>5</v>
      </c>
      <c r="K29" s="50">
        <f>listeAchats[[#This Row],[Coût d''achat]]*listeAchats[[#This Row],[Quantité]]</f>
        <v>2025</v>
      </c>
      <c r="L29" s="9"/>
    </row>
    <row r="30" spans="1:12" ht="18" customHeight="1">
      <c r="A30" s="6"/>
      <c r="B30" s="9"/>
      <c r="C30" s="51">
        <f t="shared" si="0"/>
        <v>34</v>
      </c>
      <c r="D30" s="54">
        <v>44656</v>
      </c>
      <c r="E30" s="49" t="s">
        <v>36</v>
      </c>
      <c r="F30" s="49" t="s">
        <v>50</v>
      </c>
      <c r="G30" s="49" t="s">
        <v>59</v>
      </c>
      <c r="H30" s="49" t="s">
        <v>32</v>
      </c>
      <c r="I30" s="52">
        <v>410</v>
      </c>
      <c r="J30" s="53">
        <v>10</v>
      </c>
      <c r="K30" s="50">
        <f>listeAchats[[#This Row],[Coût d''achat]]*listeAchats[[#This Row],[Quantité]]</f>
        <v>4100</v>
      </c>
      <c r="L30" s="9"/>
    </row>
    <row r="31" spans="1:12" ht="18" customHeight="1">
      <c r="A31" s="6"/>
      <c r="B31" s="9"/>
      <c r="C31" s="51">
        <f t="shared" si="0"/>
        <v>33</v>
      </c>
      <c r="D31" s="54">
        <v>44625</v>
      </c>
      <c r="E31" s="49" t="s">
        <v>36</v>
      </c>
      <c r="F31" s="49" t="s">
        <v>50</v>
      </c>
      <c r="G31" s="49" t="s">
        <v>59</v>
      </c>
      <c r="H31" s="49" t="s">
        <v>32</v>
      </c>
      <c r="I31" s="52">
        <v>420</v>
      </c>
      <c r="J31" s="53">
        <v>10</v>
      </c>
      <c r="K31" s="50">
        <f>listeAchats[[#This Row],[Coût d''achat]]*listeAchats[[#This Row],[Quantité]]</f>
        <v>4200</v>
      </c>
      <c r="L31" s="9"/>
    </row>
    <row r="32" spans="1:12" ht="18" customHeight="1">
      <c r="A32" s="6"/>
      <c r="B32" s="9"/>
      <c r="C32" s="51">
        <f t="shared" si="0"/>
        <v>32</v>
      </c>
      <c r="D32" s="54">
        <v>44602</v>
      </c>
      <c r="E32" s="49" t="s">
        <v>36</v>
      </c>
      <c r="F32" s="49" t="s">
        <v>50</v>
      </c>
      <c r="G32" s="49" t="s">
        <v>59</v>
      </c>
      <c r="H32" s="49" t="s">
        <v>32</v>
      </c>
      <c r="I32" s="52">
        <v>400</v>
      </c>
      <c r="J32" s="53">
        <v>10</v>
      </c>
      <c r="K32" s="50">
        <f>listeAchats[[#This Row],[Coût d''achat]]*listeAchats[[#This Row],[Quantité]]</f>
        <v>4000</v>
      </c>
      <c r="L32" s="9"/>
    </row>
    <row r="33" spans="1:12" ht="18" customHeight="1">
      <c r="A33" s="6"/>
      <c r="B33" s="9"/>
      <c r="C33" s="51">
        <f t="shared" si="0"/>
        <v>31</v>
      </c>
      <c r="D33" s="54">
        <v>44563</v>
      </c>
      <c r="E33" s="49" t="s">
        <v>36</v>
      </c>
      <c r="F33" s="49" t="s">
        <v>50</v>
      </c>
      <c r="G33" s="49" t="s">
        <v>59</v>
      </c>
      <c r="H33" s="49" t="s">
        <v>32</v>
      </c>
      <c r="I33" s="52">
        <v>400</v>
      </c>
      <c r="J33" s="53">
        <v>5</v>
      </c>
      <c r="K33" s="50">
        <f>listeAchats[[#This Row],[Coût d''achat]]*listeAchats[[#This Row],[Quantité]]</f>
        <v>2000</v>
      </c>
      <c r="L33" s="9"/>
    </row>
    <row r="34" spans="1:12" ht="18" customHeight="1">
      <c r="A34" s="6"/>
      <c r="B34" s="9"/>
      <c r="C34" s="51">
        <f t="shared" si="0"/>
        <v>30</v>
      </c>
      <c r="D34" s="54">
        <v>44689</v>
      </c>
      <c r="E34" s="49" t="s">
        <v>35</v>
      </c>
      <c r="F34" s="49" t="s">
        <v>49</v>
      </c>
      <c r="G34" s="49" t="s">
        <v>59</v>
      </c>
      <c r="H34" s="49" t="s">
        <v>32</v>
      </c>
      <c r="I34" s="52">
        <v>760</v>
      </c>
      <c r="J34" s="53">
        <v>20</v>
      </c>
      <c r="K34" s="50">
        <f>listeAchats[[#This Row],[Coût d''achat]]*listeAchats[[#This Row],[Quantité]]</f>
        <v>15200</v>
      </c>
      <c r="L34" s="9"/>
    </row>
    <row r="35" spans="1:12" ht="18" customHeight="1">
      <c r="A35" s="6"/>
      <c r="B35" s="9"/>
      <c r="C35" s="51">
        <f t="shared" si="0"/>
        <v>29</v>
      </c>
      <c r="D35" s="54">
        <v>44656</v>
      </c>
      <c r="E35" s="49" t="s">
        <v>35</v>
      </c>
      <c r="F35" s="49" t="s">
        <v>49</v>
      </c>
      <c r="G35" s="49" t="s">
        <v>59</v>
      </c>
      <c r="H35" s="49" t="s">
        <v>32</v>
      </c>
      <c r="I35" s="52">
        <v>750</v>
      </c>
      <c r="J35" s="53">
        <v>5</v>
      </c>
      <c r="K35" s="50">
        <f>listeAchats[[#This Row],[Coût d''achat]]*listeAchats[[#This Row],[Quantité]]</f>
        <v>3750</v>
      </c>
      <c r="L35" s="9"/>
    </row>
    <row r="36" spans="1:12" ht="18" customHeight="1">
      <c r="A36" s="6"/>
      <c r="B36" s="9"/>
      <c r="C36" s="51">
        <f t="shared" si="0"/>
        <v>28</v>
      </c>
      <c r="D36" s="54">
        <v>44623</v>
      </c>
      <c r="E36" s="49" t="s">
        <v>35</v>
      </c>
      <c r="F36" s="49" t="s">
        <v>49</v>
      </c>
      <c r="G36" s="49" t="s">
        <v>59</v>
      </c>
      <c r="H36" s="49" t="s">
        <v>32</v>
      </c>
      <c r="I36" s="52">
        <v>745</v>
      </c>
      <c r="J36" s="53">
        <v>10</v>
      </c>
      <c r="K36" s="50">
        <f>listeAchats[[#This Row],[Coût d''achat]]*listeAchats[[#This Row],[Quantité]]</f>
        <v>7450</v>
      </c>
      <c r="L36" s="9"/>
    </row>
    <row r="37" spans="1:12" ht="18" customHeight="1">
      <c r="A37" s="6"/>
      <c r="B37" s="9"/>
      <c r="C37" s="51">
        <f t="shared" si="0"/>
        <v>27</v>
      </c>
      <c r="D37" s="54">
        <v>44618</v>
      </c>
      <c r="E37" s="49" t="s">
        <v>35</v>
      </c>
      <c r="F37" s="49" t="s">
        <v>49</v>
      </c>
      <c r="G37" s="49" t="s">
        <v>59</v>
      </c>
      <c r="H37" s="49" t="s">
        <v>32</v>
      </c>
      <c r="I37" s="52">
        <v>750</v>
      </c>
      <c r="J37" s="53">
        <v>10</v>
      </c>
      <c r="K37" s="50">
        <f>listeAchats[[#This Row],[Coût d''achat]]*listeAchats[[#This Row],[Quantité]]</f>
        <v>7500</v>
      </c>
      <c r="L37" s="9"/>
    </row>
    <row r="38" spans="1:12" ht="18" customHeight="1">
      <c r="A38" s="6"/>
      <c r="B38" s="9"/>
      <c r="C38" s="51">
        <f t="shared" si="0"/>
        <v>26</v>
      </c>
      <c r="D38" s="54">
        <v>44563</v>
      </c>
      <c r="E38" s="49" t="s">
        <v>35</v>
      </c>
      <c r="F38" s="49" t="s">
        <v>49</v>
      </c>
      <c r="G38" s="49" t="s">
        <v>59</v>
      </c>
      <c r="H38" s="49" t="s">
        <v>32</v>
      </c>
      <c r="I38" s="52">
        <v>740</v>
      </c>
      <c r="J38" s="53">
        <v>5</v>
      </c>
      <c r="K38" s="50">
        <f>listeAchats[[#This Row],[Coût d''achat]]*listeAchats[[#This Row],[Quantité]]</f>
        <v>3700</v>
      </c>
      <c r="L38" s="9"/>
    </row>
    <row r="39" spans="1:12" ht="18" customHeight="1">
      <c r="A39" s="6"/>
      <c r="B39" s="9"/>
      <c r="C39" s="51">
        <f t="shared" si="0"/>
        <v>25</v>
      </c>
      <c r="D39" s="54">
        <v>44683</v>
      </c>
      <c r="E39" s="49" t="s">
        <v>53</v>
      </c>
      <c r="F39" s="49" t="s">
        <v>66</v>
      </c>
      <c r="G39" s="49" t="s">
        <v>58</v>
      </c>
      <c r="H39" s="49" t="s">
        <v>32</v>
      </c>
      <c r="I39" s="52">
        <v>1400</v>
      </c>
      <c r="J39" s="53">
        <v>30</v>
      </c>
      <c r="K39" s="50">
        <f>listeAchats[[#This Row],[Coût d''achat]]*listeAchats[[#This Row],[Quantité]]</f>
        <v>42000</v>
      </c>
      <c r="L39" s="9"/>
    </row>
    <row r="40" spans="1:12" ht="18" customHeight="1">
      <c r="A40" s="6"/>
      <c r="B40" s="9"/>
      <c r="C40" s="51">
        <f t="shared" si="0"/>
        <v>24</v>
      </c>
      <c r="D40" s="54">
        <v>44676</v>
      </c>
      <c r="E40" s="49" t="s">
        <v>53</v>
      </c>
      <c r="F40" s="49" t="s">
        <v>66</v>
      </c>
      <c r="G40" s="49" t="s">
        <v>58</v>
      </c>
      <c r="H40" s="49" t="s">
        <v>32</v>
      </c>
      <c r="I40" s="52">
        <v>1400</v>
      </c>
      <c r="J40" s="53">
        <v>20</v>
      </c>
      <c r="K40" s="50">
        <f>listeAchats[[#This Row],[Coût d''achat]]*listeAchats[[#This Row],[Quantité]]</f>
        <v>28000</v>
      </c>
      <c r="L40" s="9"/>
    </row>
    <row r="41" spans="1:12" ht="18" customHeight="1">
      <c r="A41" s="6"/>
      <c r="B41" s="9"/>
      <c r="C41" s="51">
        <f t="shared" ref="C41:C61" si="1">C42+1</f>
        <v>23</v>
      </c>
      <c r="D41" s="54">
        <v>44646</v>
      </c>
      <c r="E41" s="49" t="s">
        <v>53</v>
      </c>
      <c r="F41" s="49" t="s">
        <v>66</v>
      </c>
      <c r="G41" s="49" t="s">
        <v>58</v>
      </c>
      <c r="H41" s="49" t="s">
        <v>32</v>
      </c>
      <c r="I41" s="52">
        <v>1400</v>
      </c>
      <c r="J41" s="53">
        <v>10</v>
      </c>
      <c r="K41" s="50">
        <f>listeAchats[[#This Row],[Coût d''achat]]*listeAchats[[#This Row],[Quantité]]</f>
        <v>14000</v>
      </c>
      <c r="L41" s="9"/>
    </row>
    <row r="42" spans="1:12" ht="18" customHeight="1">
      <c r="A42" s="6"/>
      <c r="B42" s="9"/>
      <c r="C42" s="51">
        <f t="shared" si="1"/>
        <v>22</v>
      </c>
      <c r="D42" s="54">
        <v>44594</v>
      </c>
      <c r="E42" s="49" t="s">
        <v>53</v>
      </c>
      <c r="F42" s="49" t="s">
        <v>66</v>
      </c>
      <c r="G42" s="49" t="s">
        <v>58</v>
      </c>
      <c r="H42" s="49" t="s">
        <v>32</v>
      </c>
      <c r="I42" s="52">
        <v>1400</v>
      </c>
      <c r="J42" s="53">
        <v>6</v>
      </c>
      <c r="K42" s="50">
        <f>listeAchats[[#This Row],[Coût d''achat]]*listeAchats[[#This Row],[Quantité]]</f>
        <v>8400</v>
      </c>
      <c r="L42" s="9"/>
    </row>
    <row r="43" spans="1:12" ht="18" customHeight="1">
      <c r="A43" s="6"/>
      <c r="B43" s="9"/>
      <c r="C43" s="51">
        <f t="shared" si="1"/>
        <v>21</v>
      </c>
      <c r="D43" s="54">
        <v>44593</v>
      </c>
      <c r="E43" s="49" t="s">
        <v>53</v>
      </c>
      <c r="F43" s="49" t="s">
        <v>66</v>
      </c>
      <c r="G43" s="49" t="s">
        <v>58</v>
      </c>
      <c r="H43" s="49" t="s">
        <v>32</v>
      </c>
      <c r="I43" s="52">
        <v>1400</v>
      </c>
      <c r="J43" s="53">
        <v>30</v>
      </c>
      <c r="K43" s="50">
        <f>listeAchats[[#This Row],[Coût d''achat]]*listeAchats[[#This Row],[Quantité]]</f>
        <v>42000</v>
      </c>
      <c r="L43" s="9"/>
    </row>
    <row r="44" spans="1:12" ht="18" customHeight="1">
      <c r="A44" s="6"/>
      <c r="B44" s="9"/>
      <c r="C44" s="51">
        <f t="shared" si="1"/>
        <v>20</v>
      </c>
      <c r="D44" s="54">
        <v>44689</v>
      </c>
      <c r="E44" s="49" t="s">
        <v>52</v>
      </c>
      <c r="F44" s="49" t="s">
        <v>51</v>
      </c>
      <c r="G44" s="49" t="s">
        <v>58</v>
      </c>
      <c r="H44" s="49" t="s">
        <v>32</v>
      </c>
      <c r="I44" s="52">
        <v>620</v>
      </c>
      <c r="J44" s="53">
        <v>3</v>
      </c>
      <c r="K44" s="50">
        <f>listeAchats[[#This Row],[Coût d''achat]]*listeAchats[[#This Row],[Quantité]]</f>
        <v>1860</v>
      </c>
      <c r="L44" s="9"/>
    </row>
    <row r="45" spans="1:12" ht="18" customHeight="1">
      <c r="A45" s="6"/>
      <c r="B45" s="9"/>
      <c r="C45" s="51">
        <f t="shared" si="1"/>
        <v>19</v>
      </c>
      <c r="D45" s="54">
        <v>44656</v>
      </c>
      <c r="E45" s="49" t="s">
        <v>52</v>
      </c>
      <c r="F45" s="49" t="s">
        <v>51</v>
      </c>
      <c r="G45" s="49" t="s">
        <v>58</v>
      </c>
      <c r="H45" s="49" t="s">
        <v>32</v>
      </c>
      <c r="I45" s="52">
        <v>600</v>
      </c>
      <c r="J45" s="53">
        <v>5</v>
      </c>
      <c r="K45" s="50">
        <f>listeAchats[[#This Row],[Coût d''achat]]*listeAchats[[#This Row],[Quantité]]</f>
        <v>3000</v>
      </c>
      <c r="L45" s="9"/>
    </row>
    <row r="46" spans="1:12" ht="18" customHeight="1">
      <c r="A46" s="6"/>
      <c r="B46" s="9"/>
      <c r="C46" s="51">
        <f t="shared" si="1"/>
        <v>18</v>
      </c>
      <c r="D46" s="54">
        <v>44623</v>
      </c>
      <c r="E46" s="49" t="s">
        <v>52</v>
      </c>
      <c r="F46" s="49" t="s">
        <v>51</v>
      </c>
      <c r="G46" s="49" t="s">
        <v>58</v>
      </c>
      <c r="H46" s="49" t="s">
        <v>32</v>
      </c>
      <c r="I46" s="52">
        <v>550</v>
      </c>
      <c r="J46" s="53">
        <v>2</v>
      </c>
      <c r="K46" s="50">
        <f>listeAchats[[#This Row],[Coût d''achat]]*listeAchats[[#This Row],[Quantité]]</f>
        <v>1100</v>
      </c>
      <c r="L46" s="9"/>
    </row>
    <row r="47" spans="1:12" ht="18" customHeight="1">
      <c r="A47" s="6"/>
      <c r="B47" s="9"/>
      <c r="C47" s="51">
        <f t="shared" si="1"/>
        <v>17</v>
      </c>
      <c r="D47" s="54">
        <v>44597</v>
      </c>
      <c r="E47" s="49" t="s">
        <v>52</v>
      </c>
      <c r="F47" s="49" t="s">
        <v>51</v>
      </c>
      <c r="G47" s="49" t="s">
        <v>58</v>
      </c>
      <c r="H47" s="49" t="s">
        <v>32</v>
      </c>
      <c r="I47" s="52">
        <v>600</v>
      </c>
      <c r="J47" s="53">
        <v>5</v>
      </c>
      <c r="K47" s="50">
        <f>listeAchats[[#This Row],[Coût d''achat]]*listeAchats[[#This Row],[Quantité]]</f>
        <v>3000</v>
      </c>
      <c r="L47" s="9"/>
    </row>
    <row r="48" spans="1:12" ht="18" customHeight="1">
      <c r="A48" s="6"/>
      <c r="B48" s="9"/>
      <c r="C48" s="51">
        <f t="shared" si="1"/>
        <v>16</v>
      </c>
      <c r="D48" s="54">
        <v>44581</v>
      </c>
      <c r="E48" s="49" t="s">
        <v>52</v>
      </c>
      <c r="F48" s="49" t="s">
        <v>51</v>
      </c>
      <c r="G48" s="49" t="s">
        <v>58</v>
      </c>
      <c r="H48" s="49" t="s">
        <v>32</v>
      </c>
      <c r="I48" s="52">
        <v>600</v>
      </c>
      <c r="J48" s="53">
        <v>40</v>
      </c>
      <c r="K48" s="50">
        <f>listeAchats[[#This Row],[Coût d''achat]]*listeAchats[[#This Row],[Quantité]]</f>
        <v>24000</v>
      </c>
      <c r="L48" s="9"/>
    </row>
    <row r="49" spans="1:12" ht="18" customHeight="1">
      <c r="A49" s="6"/>
      <c r="B49" s="9"/>
      <c r="C49" s="51">
        <f t="shared" si="1"/>
        <v>15</v>
      </c>
      <c r="D49" s="54">
        <v>44689</v>
      </c>
      <c r="E49" s="49" t="s">
        <v>56</v>
      </c>
      <c r="F49" s="49" t="s">
        <v>18</v>
      </c>
      <c r="G49" s="49" t="s">
        <v>19</v>
      </c>
      <c r="H49" s="49" t="s">
        <v>22</v>
      </c>
      <c r="I49" s="52">
        <v>4</v>
      </c>
      <c r="J49" s="53">
        <v>250</v>
      </c>
      <c r="K49" s="50">
        <f>listeAchats[[#This Row],[Coût d''achat]]*listeAchats[[#This Row],[Quantité]]</f>
        <v>1000</v>
      </c>
      <c r="L49" s="9"/>
    </row>
    <row r="50" spans="1:12" ht="18" customHeight="1">
      <c r="A50" s="6"/>
      <c r="B50" s="9"/>
      <c r="C50" s="51">
        <f t="shared" si="1"/>
        <v>14</v>
      </c>
      <c r="D50" s="54">
        <v>44676</v>
      </c>
      <c r="E50" s="49" t="s">
        <v>56</v>
      </c>
      <c r="F50" s="49" t="s">
        <v>18</v>
      </c>
      <c r="G50" s="49" t="s">
        <v>19</v>
      </c>
      <c r="H50" s="49" t="s">
        <v>22</v>
      </c>
      <c r="I50" s="52">
        <v>4</v>
      </c>
      <c r="J50" s="53">
        <v>30</v>
      </c>
      <c r="K50" s="50">
        <f>listeAchats[[#This Row],[Coût d''achat]]*listeAchats[[#This Row],[Quantité]]</f>
        <v>120</v>
      </c>
      <c r="L50" s="9"/>
    </row>
    <row r="51" spans="1:12" ht="18" customHeight="1">
      <c r="A51" s="6"/>
      <c r="B51" s="9"/>
      <c r="C51" s="51">
        <f t="shared" si="1"/>
        <v>13</v>
      </c>
      <c r="D51" s="54">
        <v>44640</v>
      </c>
      <c r="E51" s="49" t="s">
        <v>56</v>
      </c>
      <c r="F51" s="49" t="s">
        <v>18</v>
      </c>
      <c r="G51" s="49" t="s">
        <v>19</v>
      </c>
      <c r="H51" s="49" t="s">
        <v>22</v>
      </c>
      <c r="I51" s="52">
        <v>4</v>
      </c>
      <c r="J51" s="53">
        <v>20</v>
      </c>
      <c r="K51" s="50">
        <f>listeAchats[[#This Row],[Coût d''achat]]*listeAchats[[#This Row],[Quantité]]</f>
        <v>80</v>
      </c>
      <c r="L51" s="9"/>
    </row>
    <row r="52" spans="1:12" ht="18" customHeight="1">
      <c r="A52" s="6"/>
      <c r="B52" s="9"/>
      <c r="C52" s="51">
        <f t="shared" si="1"/>
        <v>12</v>
      </c>
      <c r="D52" s="54">
        <v>44597</v>
      </c>
      <c r="E52" s="49" t="s">
        <v>56</v>
      </c>
      <c r="F52" s="49" t="s">
        <v>18</v>
      </c>
      <c r="G52" s="49" t="s">
        <v>19</v>
      </c>
      <c r="H52" s="49" t="s">
        <v>22</v>
      </c>
      <c r="I52" s="52">
        <v>4</v>
      </c>
      <c r="J52" s="53">
        <v>10</v>
      </c>
      <c r="K52" s="50">
        <f>listeAchats[[#This Row],[Coût d''achat]]*listeAchats[[#This Row],[Quantité]]</f>
        <v>40</v>
      </c>
      <c r="L52" s="9"/>
    </row>
    <row r="53" spans="1:12" ht="18" customHeight="1">
      <c r="A53" s="6"/>
      <c r="B53" s="9"/>
      <c r="C53" s="51">
        <f t="shared" si="1"/>
        <v>11</v>
      </c>
      <c r="D53" s="54">
        <v>44686</v>
      </c>
      <c r="E53" s="49" t="s">
        <v>55</v>
      </c>
      <c r="F53" s="49" t="s">
        <v>18</v>
      </c>
      <c r="G53" s="49" t="s">
        <v>19</v>
      </c>
      <c r="H53" s="49" t="s">
        <v>21</v>
      </c>
      <c r="I53" s="52">
        <v>2</v>
      </c>
      <c r="J53" s="53">
        <v>50</v>
      </c>
      <c r="K53" s="50">
        <f>listeAchats[[#This Row],[Coût d''achat]]*listeAchats[[#This Row],[Quantité]]</f>
        <v>100</v>
      </c>
      <c r="L53" s="9"/>
    </row>
    <row r="54" spans="1:12" ht="18" customHeight="1">
      <c r="A54" s="6"/>
      <c r="B54" s="9"/>
      <c r="C54" s="51">
        <f t="shared" si="1"/>
        <v>10</v>
      </c>
      <c r="D54" s="54">
        <v>44656</v>
      </c>
      <c r="E54" s="49" t="s">
        <v>55</v>
      </c>
      <c r="F54" s="49" t="s">
        <v>18</v>
      </c>
      <c r="G54" s="49" t="s">
        <v>19</v>
      </c>
      <c r="H54" s="49" t="s">
        <v>21</v>
      </c>
      <c r="I54" s="52">
        <v>2</v>
      </c>
      <c r="J54" s="53">
        <v>5</v>
      </c>
      <c r="K54" s="50">
        <f>listeAchats[[#This Row],[Coût d''achat]]*listeAchats[[#This Row],[Quantité]]</f>
        <v>10</v>
      </c>
      <c r="L54" s="9"/>
    </row>
    <row r="55" spans="1:12" ht="18" customHeight="1">
      <c r="A55" s="6"/>
      <c r="B55" s="9"/>
      <c r="C55" s="51">
        <f t="shared" si="1"/>
        <v>9</v>
      </c>
      <c r="D55" s="54">
        <v>44622</v>
      </c>
      <c r="E55" s="49" t="s">
        <v>55</v>
      </c>
      <c r="F55" s="49" t="s">
        <v>18</v>
      </c>
      <c r="G55" s="49" t="s">
        <v>19</v>
      </c>
      <c r="H55" s="49" t="s">
        <v>21</v>
      </c>
      <c r="I55" s="52">
        <v>2</v>
      </c>
      <c r="J55" s="53">
        <v>4</v>
      </c>
      <c r="K55" s="50">
        <f>listeAchats[[#This Row],[Coût d''achat]]*listeAchats[[#This Row],[Quantité]]</f>
        <v>8</v>
      </c>
      <c r="L55" s="9"/>
    </row>
    <row r="56" spans="1:12" ht="18" customHeight="1">
      <c r="A56" s="6"/>
      <c r="B56" s="9"/>
      <c r="C56" s="51">
        <f t="shared" si="1"/>
        <v>8</v>
      </c>
      <c r="D56" s="54">
        <v>44617</v>
      </c>
      <c r="E56" s="49" t="s">
        <v>55</v>
      </c>
      <c r="F56" s="49" t="s">
        <v>18</v>
      </c>
      <c r="G56" s="49" t="s">
        <v>19</v>
      </c>
      <c r="H56" s="49" t="s">
        <v>21</v>
      </c>
      <c r="I56" s="52">
        <v>2</v>
      </c>
      <c r="J56" s="53">
        <v>60</v>
      </c>
      <c r="K56" s="50">
        <f>listeAchats[[#This Row],[Coût d''achat]]*listeAchats[[#This Row],[Quantité]]</f>
        <v>120</v>
      </c>
      <c r="L56" s="9"/>
    </row>
    <row r="57" spans="1:12" ht="18" customHeight="1">
      <c r="A57" s="6"/>
      <c r="B57" s="9"/>
      <c r="C57" s="51">
        <f t="shared" si="1"/>
        <v>7</v>
      </c>
      <c r="D57" s="54">
        <v>44686</v>
      </c>
      <c r="E57" s="49" t="s">
        <v>54</v>
      </c>
      <c r="F57" s="49" t="s">
        <v>18</v>
      </c>
      <c r="G57" s="49" t="s">
        <v>19</v>
      </c>
      <c r="H57" s="49" t="s">
        <v>20</v>
      </c>
      <c r="I57" s="52">
        <v>0.24</v>
      </c>
      <c r="J57" s="53">
        <v>10</v>
      </c>
      <c r="K57" s="50">
        <f>listeAchats[[#This Row],[Coût d''achat]]*listeAchats[[#This Row],[Quantité]]</f>
        <v>2.4</v>
      </c>
      <c r="L57" s="9"/>
    </row>
    <row r="58" spans="1:12" ht="18" customHeight="1">
      <c r="A58" s="6"/>
      <c r="B58" s="9"/>
      <c r="C58" s="51">
        <f t="shared" si="1"/>
        <v>6</v>
      </c>
      <c r="D58" s="54">
        <v>44654</v>
      </c>
      <c r="E58" s="49" t="s">
        <v>54</v>
      </c>
      <c r="F58" s="49" t="s">
        <v>18</v>
      </c>
      <c r="G58" s="49" t="s">
        <v>19</v>
      </c>
      <c r="H58" s="49" t="s">
        <v>20</v>
      </c>
      <c r="I58" s="52">
        <v>0.23</v>
      </c>
      <c r="J58" s="53">
        <v>5</v>
      </c>
      <c r="K58" s="50">
        <f>listeAchats[[#This Row],[Coût d''achat]]*listeAchats[[#This Row],[Quantité]]</f>
        <v>1.1500000000000001</v>
      </c>
      <c r="L58" s="9"/>
    </row>
    <row r="59" spans="1:12" ht="18" customHeight="1">
      <c r="A59" s="6"/>
      <c r="B59" s="9"/>
      <c r="C59" s="51">
        <f t="shared" si="1"/>
        <v>5</v>
      </c>
      <c r="D59" s="54">
        <v>44640</v>
      </c>
      <c r="E59" s="49" t="s">
        <v>54</v>
      </c>
      <c r="F59" s="49" t="s">
        <v>18</v>
      </c>
      <c r="G59" s="49" t="s">
        <v>19</v>
      </c>
      <c r="H59" s="49" t="s">
        <v>20</v>
      </c>
      <c r="I59" s="52">
        <v>0.2</v>
      </c>
      <c r="J59" s="53">
        <v>50</v>
      </c>
      <c r="K59" s="50">
        <f>listeAchats[[#This Row],[Coût d''achat]]*listeAchats[[#This Row],[Quantité]]</f>
        <v>10</v>
      </c>
      <c r="L59" s="9"/>
    </row>
    <row r="60" spans="1:12" ht="18" customHeight="1">
      <c r="A60" s="6"/>
      <c r="B60" s="9"/>
      <c r="C60" s="51">
        <f t="shared" si="1"/>
        <v>4</v>
      </c>
      <c r="D60" s="54">
        <v>44594</v>
      </c>
      <c r="E60" s="49" t="s">
        <v>54</v>
      </c>
      <c r="F60" s="49" t="s">
        <v>18</v>
      </c>
      <c r="G60" s="49" t="s">
        <v>19</v>
      </c>
      <c r="H60" s="49" t="s">
        <v>20</v>
      </c>
      <c r="I60" s="52">
        <v>0.22</v>
      </c>
      <c r="J60" s="53">
        <v>20</v>
      </c>
      <c r="K60" s="50">
        <f>listeAchats[[#This Row],[Coût d''achat]]*listeAchats[[#This Row],[Quantité]]</f>
        <v>4.4000000000000004</v>
      </c>
      <c r="L60" s="9"/>
    </row>
    <row r="61" spans="1:12" ht="18" customHeight="1">
      <c r="A61" s="6"/>
      <c r="B61" s="9"/>
      <c r="C61" s="51">
        <f t="shared" si="1"/>
        <v>3</v>
      </c>
      <c r="D61" s="54">
        <v>44586</v>
      </c>
      <c r="E61" s="49" t="s">
        <v>54</v>
      </c>
      <c r="F61" s="49" t="s">
        <v>18</v>
      </c>
      <c r="G61" s="49" t="s">
        <v>19</v>
      </c>
      <c r="H61" s="49" t="s">
        <v>20</v>
      </c>
      <c r="I61" s="52">
        <v>0.2</v>
      </c>
      <c r="J61" s="53">
        <v>10</v>
      </c>
      <c r="K61" s="50">
        <f>listeAchats[[#This Row],[Coût d''achat]]*listeAchats[[#This Row],[Quantité]]</f>
        <v>2</v>
      </c>
      <c r="L61" s="9"/>
    </row>
    <row r="62" spans="1:12" ht="18" customHeight="1">
      <c r="A62" s="6"/>
      <c r="B62" s="9"/>
      <c r="C62" s="15">
        <v>2</v>
      </c>
      <c r="D62" s="16">
        <v>44566</v>
      </c>
      <c r="E62" s="13" t="s">
        <v>55</v>
      </c>
      <c r="F62" s="13" t="s">
        <v>18</v>
      </c>
      <c r="G62" s="13" t="s">
        <v>19</v>
      </c>
      <c r="H62" s="13" t="s">
        <v>21</v>
      </c>
      <c r="I62" s="14">
        <v>2</v>
      </c>
      <c r="J62" s="39">
        <v>3</v>
      </c>
      <c r="K62" s="14">
        <f>listeAchats[[#This Row],[Coût d''achat]]*listeAchats[[#This Row],[Quantité]]</f>
        <v>6</v>
      </c>
      <c r="L62" s="9"/>
    </row>
    <row r="63" spans="1:12" ht="18" customHeight="1">
      <c r="B63" s="9"/>
      <c r="C63" s="15">
        <v>1</v>
      </c>
      <c r="D63" s="16">
        <v>44563</v>
      </c>
      <c r="E63" s="13" t="s">
        <v>56</v>
      </c>
      <c r="F63" s="13" t="s">
        <v>18</v>
      </c>
      <c r="G63" s="13" t="s">
        <v>19</v>
      </c>
      <c r="H63" s="13" t="s">
        <v>22</v>
      </c>
      <c r="I63" s="14">
        <v>4</v>
      </c>
      <c r="J63" s="39">
        <v>10</v>
      </c>
      <c r="K63" s="14">
        <f>listeAchats[[#This Row],[Coût d''achat]]*listeAchats[[#This Row],[Quantité]]</f>
        <v>40</v>
      </c>
      <c r="L63" s="9"/>
    </row>
    <row r="64" spans="1:12" ht="18" customHeight="1">
      <c r="B64" s="2"/>
      <c r="C64" s="2"/>
      <c r="D64" s="2"/>
      <c r="E64" s="2"/>
      <c r="F64" s="2"/>
      <c r="G64" s="2"/>
      <c r="H64" s="2"/>
      <c r="I64" s="2"/>
      <c r="J64" s="41"/>
      <c r="K64" s="2"/>
      <c r="L64" s="2"/>
    </row>
    <row r="65" spans="2:12" ht="18" customHeight="1">
      <c r="B65" s="2"/>
      <c r="C65" s="2"/>
      <c r="D65" s="2"/>
      <c r="E65" s="2"/>
      <c r="F65" s="36"/>
      <c r="G65" s="2"/>
      <c r="H65" s="2"/>
      <c r="I65" s="2"/>
      <c r="J65" s="41"/>
      <c r="K65" s="2"/>
      <c r="L65" s="2"/>
    </row>
    <row r="66" spans="2:12" ht="18" customHeight="1"/>
    <row r="67" spans="2:12" ht="20" customHeight="1"/>
  </sheetData>
  <mergeCells count="2">
    <mergeCell ref="C3:K3"/>
    <mergeCell ref="C4:J4"/>
  </mergeCells>
  <dataValidations count="1">
    <dataValidation type="date" operator="greaterThan" allowBlank="1" showInputMessage="1" showErrorMessage="1" error="Veuillez saisir une date correcte" sqref="D7:D61">
      <formula1>44561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P70"/>
  <sheetViews>
    <sheetView topLeftCell="C2" zoomScale="115" zoomScaleNormal="115" workbookViewId="0">
      <selection activeCell="D13" sqref="D13"/>
    </sheetView>
  </sheetViews>
  <sheetFormatPr baseColWidth="10" defaultColWidth="8.90625" defaultRowHeight="14.5"/>
  <cols>
    <col min="1" max="1" width="8.08984375" style="1" customWidth="1"/>
    <col min="2" max="2" width="8.81640625" style="1" customWidth="1"/>
    <col min="3" max="3" width="9.453125" style="1" customWidth="1"/>
    <col min="4" max="4" width="12.6328125" style="1" customWidth="1"/>
    <col min="5" max="5" width="11.54296875" style="1" customWidth="1"/>
    <col min="6" max="6" width="28.1796875" style="1" customWidth="1"/>
    <col min="7" max="7" width="19.90625" style="1" customWidth="1"/>
    <col min="8" max="8" width="17.90625" style="1" customWidth="1"/>
    <col min="9" max="9" width="13.81640625" style="1" customWidth="1"/>
    <col min="10" max="10" width="10.54296875" style="1" customWidth="1"/>
    <col min="11" max="11" width="21.36328125" style="1" customWidth="1"/>
    <col min="12" max="12" width="8.81640625" style="1" customWidth="1"/>
    <col min="13" max="24" width="12.81640625" style="1" customWidth="1"/>
    <col min="25" max="16384" width="8.90625" style="1"/>
  </cols>
  <sheetData>
    <row r="1" spans="1:16" ht="22.25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6" ht="13.75" customHeight="1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6" ht="26.4" customHeight="1">
      <c r="A3" s="5"/>
      <c r="B3" s="9"/>
      <c r="C3" s="70" t="s">
        <v>45</v>
      </c>
      <c r="D3" s="70"/>
      <c r="E3" s="70"/>
      <c r="F3" s="70"/>
      <c r="G3" s="70"/>
      <c r="H3" s="70"/>
      <c r="I3" s="70"/>
      <c r="J3" s="70"/>
      <c r="K3" s="70"/>
      <c r="L3" s="3"/>
      <c r="M3" s="5"/>
      <c r="N3" s="5"/>
      <c r="O3" s="5"/>
      <c r="P3" s="5"/>
    </row>
    <row r="4" spans="1:16" ht="16.75" customHeight="1">
      <c r="A4" s="5"/>
      <c r="B4" s="9"/>
      <c r="C4" s="68" t="s">
        <v>46</v>
      </c>
      <c r="D4" s="68"/>
      <c r="E4" s="68"/>
      <c r="F4" s="68"/>
      <c r="G4" s="68"/>
      <c r="H4" s="68"/>
      <c r="I4" s="68"/>
      <c r="J4" s="68"/>
      <c r="K4" s="12"/>
      <c r="L4" s="12"/>
      <c r="M4" s="5"/>
      <c r="N4" s="5"/>
      <c r="O4" s="5"/>
      <c r="P4" s="5"/>
    </row>
    <row r="5" spans="1:16">
      <c r="B5" s="2"/>
      <c r="C5" s="2"/>
      <c r="D5" s="2"/>
      <c r="E5" s="2"/>
      <c r="F5" s="2"/>
      <c r="G5" s="2"/>
      <c r="H5" s="2"/>
      <c r="I5" s="2"/>
      <c r="J5" s="2"/>
      <c r="K5" s="2"/>
      <c r="L5" s="3"/>
    </row>
    <row r="6" spans="1:16" ht="18" customHeight="1">
      <c r="A6" s="6"/>
      <c r="B6" s="9"/>
      <c r="C6" s="11" t="s">
        <v>7</v>
      </c>
      <c r="D6" s="11" t="s">
        <v>2</v>
      </c>
      <c r="E6" s="11" t="s">
        <v>14</v>
      </c>
      <c r="F6" s="11" t="s">
        <v>0</v>
      </c>
      <c r="G6" s="11" t="s">
        <v>15</v>
      </c>
      <c r="H6" s="11" t="s">
        <v>8</v>
      </c>
      <c r="I6" s="11" t="s">
        <v>5</v>
      </c>
      <c r="J6" s="11" t="s">
        <v>1</v>
      </c>
      <c r="K6" s="11" t="s">
        <v>6</v>
      </c>
      <c r="L6" s="9"/>
    </row>
    <row r="7" spans="1:16" ht="18" customHeight="1">
      <c r="A7" s="6"/>
      <c r="B7" s="9"/>
      <c r="C7" s="15">
        <f>C8+1</f>
        <v>60</v>
      </c>
      <c r="D7" s="16">
        <v>44698</v>
      </c>
      <c r="E7" s="37" t="s">
        <v>55</v>
      </c>
      <c r="F7" s="37" t="s">
        <v>18</v>
      </c>
      <c r="G7" s="37" t="s">
        <v>19</v>
      </c>
      <c r="H7" s="37" t="s">
        <v>21</v>
      </c>
      <c r="I7" s="38">
        <v>2.5</v>
      </c>
      <c r="J7" s="39">
        <v>10</v>
      </c>
      <c r="K7" s="43">
        <f>listeVentes[[#This Row],[Prix de vente]]*listeVentes[[#This Row],[Quantité]]</f>
        <v>25</v>
      </c>
      <c r="L7" s="9"/>
    </row>
    <row r="8" spans="1:16" ht="18" customHeight="1">
      <c r="A8" s="6"/>
      <c r="B8" s="9"/>
      <c r="C8" s="15">
        <f>C9+1</f>
        <v>59</v>
      </c>
      <c r="D8" s="16">
        <v>44698</v>
      </c>
      <c r="E8" s="37" t="s">
        <v>38</v>
      </c>
      <c r="F8" s="37" t="s">
        <v>64</v>
      </c>
      <c r="G8" s="37" t="s">
        <v>60</v>
      </c>
      <c r="H8" s="37" t="s">
        <v>32</v>
      </c>
      <c r="I8" s="38">
        <v>800</v>
      </c>
      <c r="J8" s="39">
        <v>3</v>
      </c>
      <c r="K8" s="43">
        <f>listeVentes[[#This Row],[Prix de vente]]*listeVentes[[#This Row],[Quantité]]</f>
        <v>2400</v>
      </c>
      <c r="L8" s="9"/>
    </row>
    <row r="9" spans="1:16" ht="18" customHeight="1">
      <c r="A9" s="6"/>
      <c r="B9" s="9"/>
      <c r="C9" s="15">
        <f>C10+1</f>
        <v>58</v>
      </c>
      <c r="D9" s="16">
        <v>44670</v>
      </c>
      <c r="E9" s="37" t="s">
        <v>52</v>
      </c>
      <c r="F9" s="37" t="s">
        <v>51</v>
      </c>
      <c r="G9" s="37" t="s">
        <v>58</v>
      </c>
      <c r="H9" s="37" t="s">
        <v>32</v>
      </c>
      <c r="I9" s="38">
        <v>650</v>
      </c>
      <c r="J9" s="39">
        <v>2</v>
      </c>
      <c r="K9" s="43">
        <f>listeVentes[[#This Row],[Prix de vente]]*listeVentes[[#This Row],[Quantité]]</f>
        <v>1300</v>
      </c>
      <c r="L9" s="9"/>
    </row>
    <row r="10" spans="1:16" ht="18" customHeight="1">
      <c r="A10" s="6"/>
      <c r="B10" s="9"/>
      <c r="C10" s="15">
        <f t="shared" ref="C10:C41" si="0">C11+1</f>
        <v>57</v>
      </c>
      <c r="D10" s="16">
        <v>44662</v>
      </c>
      <c r="E10" s="37" t="s">
        <v>54</v>
      </c>
      <c r="F10" s="37" t="s">
        <v>18</v>
      </c>
      <c r="G10" s="37" t="s">
        <v>19</v>
      </c>
      <c r="H10" s="37" t="s">
        <v>20</v>
      </c>
      <c r="I10" s="38">
        <v>0.2</v>
      </c>
      <c r="J10" s="39">
        <v>20</v>
      </c>
      <c r="K10" s="43">
        <f>listeVentes[[#This Row],[Prix de vente]]*listeVentes[[#This Row],[Quantité]]</f>
        <v>4</v>
      </c>
      <c r="L10" s="9"/>
    </row>
    <row r="11" spans="1:16" ht="18" customHeight="1">
      <c r="A11" s="6"/>
      <c r="B11" s="9"/>
      <c r="C11" s="15">
        <f t="shared" si="0"/>
        <v>56</v>
      </c>
      <c r="D11" s="16">
        <v>44687</v>
      </c>
      <c r="E11" s="37" t="s">
        <v>41</v>
      </c>
      <c r="F11" s="37" t="s">
        <v>61</v>
      </c>
      <c r="G11" s="49" t="s">
        <v>60</v>
      </c>
      <c r="H11" s="37" t="s">
        <v>32</v>
      </c>
      <c r="I11" s="38">
        <v>600</v>
      </c>
      <c r="J11" s="39">
        <v>10</v>
      </c>
      <c r="K11" s="43">
        <f>listeVentes[[#This Row],[Prix de vente]]*listeVentes[[#This Row],[Quantité]]</f>
        <v>6000</v>
      </c>
      <c r="L11" s="9"/>
    </row>
    <row r="12" spans="1:16" ht="18" customHeight="1">
      <c r="A12" s="6"/>
      <c r="B12" s="9"/>
      <c r="C12" s="15">
        <f t="shared" si="0"/>
        <v>55</v>
      </c>
      <c r="D12" s="16">
        <v>44655</v>
      </c>
      <c r="E12" s="37" t="s">
        <v>41</v>
      </c>
      <c r="F12" s="37" t="s">
        <v>61</v>
      </c>
      <c r="G12" s="49" t="s">
        <v>60</v>
      </c>
      <c r="H12" s="37" t="s">
        <v>32</v>
      </c>
      <c r="I12" s="38">
        <v>590</v>
      </c>
      <c r="J12" s="39">
        <v>20</v>
      </c>
      <c r="K12" s="43">
        <f>listeVentes[[#This Row],[Prix de vente]]*listeVentes[[#This Row],[Quantité]]</f>
        <v>11800</v>
      </c>
      <c r="L12" s="9"/>
    </row>
    <row r="13" spans="1:16" ht="18" customHeight="1">
      <c r="A13" s="6"/>
      <c r="B13" s="9"/>
      <c r="C13" s="15">
        <f t="shared" si="0"/>
        <v>54</v>
      </c>
      <c r="D13" s="16">
        <v>44623</v>
      </c>
      <c r="E13" s="37" t="s">
        <v>41</v>
      </c>
      <c r="F13" s="37" t="s">
        <v>61</v>
      </c>
      <c r="G13" s="49" t="s">
        <v>60</v>
      </c>
      <c r="H13" s="37" t="s">
        <v>32</v>
      </c>
      <c r="I13" s="38">
        <v>580</v>
      </c>
      <c r="J13" s="39">
        <v>20</v>
      </c>
      <c r="K13" s="43">
        <f>listeVentes[[#This Row],[Prix de vente]]*listeVentes[[#This Row],[Quantité]]</f>
        <v>11600</v>
      </c>
      <c r="L13" s="9"/>
    </row>
    <row r="14" spans="1:16" ht="18" customHeight="1">
      <c r="A14" s="6"/>
      <c r="B14" s="9"/>
      <c r="C14" s="15">
        <f t="shared" si="0"/>
        <v>53</v>
      </c>
      <c r="D14" s="16">
        <v>44598</v>
      </c>
      <c r="E14" s="37" t="s">
        <v>41</v>
      </c>
      <c r="F14" s="37" t="s">
        <v>61</v>
      </c>
      <c r="G14" s="49" t="s">
        <v>60</v>
      </c>
      <c r="H14" s="37" t="s">
        <v>32</v>
      </c>
      <c r="I14" s="38">
        <v>600</v>
      </c>
      <c r="J14" s="39">
        <v>5</v>
      </c>
      <c r="K14" s="43">
        <f>listeVentes[[#This Row],[Prix de vente]]*listeVentes[[#This Row],[Quantité]]</f>
        <v>3000</v>
      </c>
      <c r="L14" s="9"/>
    </row>
    <row r="15" spans="1:16" ht="18" customHeight="1">
      <c r="A15" s="6"/>
      <c r="B15" s="9"/>
      <c r="C15" s="15">
        <f t="shared" si="0"/>
        <v>52</v>
      </c>
      <c r="D15" s="16">
        <v>44562</v>
      </c>
      <c r="E15" s="37" t="s">
        <v>41</v>
      </c>
      <c r="F15" s="37" t="s">
        <v>61</v>
      </c>
      <c r="G15" s="49" t="s">
        <v>60</v>
      </c>
      <c r="H15" s="37" t="s">
        <v>32</v>
      </c>
      <c r="I15" s="38">
        <v>600</v>
      </c>
      <c r="J15" s="39">
        <v>5</v>
      </c>
      <c r="K15" s="43">
        <f>listeVentes[[#This Row],[Prix de vente]]*listeVentes[[#This Row],[Quantité]]</f>
        <v>3000</v>
      </c>
      <c r="L15" s="9"/>
    </row>
    <row r="16" spans="1:16" ht="18" customHeight="1">
      <c r="A16" s="6"/>
      <c r="B16" s="9"/>
      <c r="C16" s="15">
        <f t="shared" si="0"/>
        <v>51</v>
      </c>
      <c r="D16" s="16">
        <v>44686</v>
      </c>
      <c r="E16" s="37" t="s">
        <v>40</v>
      </c>
      <c r="F16" s="37" t="s">
        <v>62</v>
      </c>
      <c r="G16" s="49" t="s">
        <v>60</v>
      </c>
      <c r="H16" s="37" t="s">
        <v>32</v>
      </c>
      <c r="I16" s="38">
        <v>220</v>
      </c>
      <c r="J16" s="39">
        <v>3</v>
      </c>
      <c r="K16" s="43">
        <f>listeVentes[[#This Row],[Prix de vente]]*listeVentes[[#This Row],[Quantité]]</f>
        <v>660</v>
      </c>
      <c r="L16" s="9"/>
    </row>
    <row r="17" spans="1:12" ht="18" customHeight="1">
      <c r="A17" s="6"/>
      <c r="B17" s="9"/>
      <c r="C17" s="15">
        <f t="shared" si="0"/>
        <v>50</v>
      </c>
      <c r="D17" s="16">
        <v>44655</v>
      </c>
      <c r="E17" s="37" t="s">
        <v>40</v>
      </c>
      <c r="F17" s="37" t="s">
        <v>62</v>
      </c>
      <c r="G17" s="49" t="s">
        <v>60</v>
      </c>
      <c r="H17" s="37" t="s">
        <v>32</v>
      </c>
      <c r="I17" s="38">
        <v>200</v>
      </c>
      <c r="J17" s="39">
        <v>5</v>
      </c>
      <c r="K17" s="43">
        <f>listeVentes[[#This Row],[Prix de vente]]*listeVentes[[#This Row],[Quantité]]</f>
        <v>1000</v>
      </c>
      <c r="L17" s="9"/>
    </row>
    <row r="18" spans="1:12" ht="18" customHeight="1">
      <c r="A18" s="6"/>
      <c r="B18" s="9"/>
      <c r="C18" s="15">
        <f t="shared" si="0"/>
        <v>49</v>
      </c>
      <c r="D18" s="16">
        <v>44625</v>
      </c>
      <c r="E18" s="37" t="s">
        <v>40</v>
      </c>
      <c r="F18" s="37" t="s">
        <v>62</v>
      </c>
      <c r="G18" s="49" t="s">
        <v>60</v>
      </c>
      <c r="H18" s="37" t="s">
        <v>32</v>
      </c>
      <c r="I18" s="38">
        <v>250</v>
      </c>
      <c r="J18" s="39">
        <v>10</v>
      </c>
      <c r="K18" s="43">
        <f>listeVentes[[#This Row],[Prix de vente]]*listeVentes[[#This Row],[Quantité]]</f>
        <v>2500</v>
      </c>
      <c r="L18" s="9"/>
    </row>
    <row r="19" spans="1:12" ht="18" customHeight="1">
      <c r="A19" s="6"/>
      <c r="B19" s="9"/>
      <c r="C19" s="15">
        <f t="shared" si="0"/>
        <v>48</v>
      </c>
      <c r="D19" s="16">
        <v>44597</v>
      </c>
      <c r="E19" s="37" t="s">
        <v>40</v>
      </c>
      <c r="F19" s="37" t="s">
        <v>62</v>
      </c>
      <c r="G19" s="49" t="s">
        <v>60</v>
      </c>
      <c r="H19" s="37" t="s">
        <v>32</v>
      </c>
      <c r="I19" s="38">
        <v>200</v>
      </c>
      <c r="J19" s="39">
        <v>5</v>
      </c>
      <c r="K19" s="43">
        <f>listeVentes[[#This Row],[Prix de vente]]*listeVentes[[#This Row],[Quantité]]</f>
        <v>1000</v>
      </c>
      <c r="L19" s="9"/>
    </row>
    <row r="20" spans="1:12" ht="18" customHeight="1">
      <c r="A20" s="6"/>
      <c r="B20" s="9"/>
      <c r="C20" s="15">
        <f t="shared" si="0"/>
        <v>47</v>
      </c>
      <c r="D20" s="16">
        <v>44562</v>
      </c>
      <c r="E20" s="37" t="s">
        <v>40</v>
      </c>
      <c r="F20" s="37" t="s">
        <v>62</v>
      </c>
      <c r="G20" s="49" t="s">
        <v>60</v>
      </c>
      <c r="H20" s="37" t="s">
        <v>32</v>
      </c>
      <c r="I20" s="38">
        <v>200</v>
      </c>
      <c r="J20" s="39">
        <v>5</v>
      </c>
      <c r="K20" s="43">
        <f>listeVentes[[#This Row],[Prix de vente]]*listeVentes[[#This Row],[Quantité]]</f>
        <v>1000</v>
      </c>
      <c r="L20" s="9"/>
    </row>
    <row r="21" spans="1:12" ht="18" customHeight="1">
      <c r="A21" s="6"/>
      <c r="B21" s="9"/>
      <c r="C21" s="15">
        <f t="shared" si="0"/>
        <v>46</v>
      </c>
      <c r="D21" s="16">
        <v>44685</v>
      </c>
      <c r="E21" s="37" t="s">
        <v>39</v>
      </c>
      <c r="F21" s="37" t="s">
        <v>63</v>
      </c>
      <c r="G21" s="49" t="s">
        <v>60</v>
      </c>
      <c r="H21" s="37" t="s">
        <v>32</v>
      </c>
      <c r="I21" s="38">
        <v>400</v>
      </c>
      <c r="J21" s="39">
        <v>2</v>
      </c>
      <c r="K21" s="43">
        <f>listeVentes[[#This Row],[Prix de vente]]*listeVentes[[#This Row],[Quantité]]</f>
        <v>800</v>
      </c>
      <c r="L21" s="9"/>
    </row>
    <row r="22" spans="1:12" ht="18" customHeight="1">
      <c r="A22" s="6"/>
      <c r="B22" s="9"/>
      <c r="C22" s="15">
        <f t="shared" si="0"/>
        <v>45</v>
      </c>
      <c r="D22" s="16">
        <v>44655</v>
      </c>
      <c r="E22" s="37" t="s">
        <v>39</v>
      </c>
      <c r="F22" s="37" t="s">
        <v>63</v>
      </c>
      <c r="G22" s="49" t="s">
        <v>60</v>
      </c>
      <c r="H22" s="37" t="s">
        <v>32</v>
      </c>
      <c r="I22" s="38">
        <v>400</v>
      </c>
      <c r="J22" s="39">
        <v>7</v>
      </c>
      <c r="K22" s="43">
        <f>listeVentes[[#This Row],[Prix de vente]]*listeVentes[[#This Row],[Quantité]]</f>
        <v>2800</v>
      </c>
      <c r="L22" s="9"/>
    </row>
    <row r="23" spans="1:12" ht="18" customHeight="1">
      <c r="A23" s="6"/>
      <c r="B23" s="9"/>
      <c r="C23" s="15">
        <f t="shared" si="0"/>
        <v>44</v>
      </c>
      <c r="D23" s="16">
        <v>44624</v>
      </c>
      <c r="E23" s="37" t="s">
        <v>39</v>
      </c>
      <c r="F23" s="37" t="s">
        <v>63</v>
      </c>
      <c r="G23" s="49" t="s">
        <v>60</v>
      </c>
      <c r="H23" s="37" t="s">
        <v>32</v>
      </c>
      <c r="I23" s="38">
        <v>400</v>
      </c>
      <c r="J23" s="39">
        <v>5</v>
      </c>
      <c r="K23" s="43">
        <f>listeVentes[[#This Row],[Prix de vente]]*listeVentes[[#This Row],[Quantité]]</f>
        <v>2000</v>
      </c>
      <c r="L23" s="9"/>
    </row>
    <row r="24" spans="1:12" ht="18" customHeight="1">
      <c r="A24" s="6"/>
      <c r="B24" s="9"/>
      <c r="C24" s="15">
        <f t="shared" si="0"/>
        <v>43</v>
      </c>
      <c r="D24" s="16">
        <v>44612</v>
      </c>
      <c r="E24" s="37" t="s">
        <v>39</v>
      </c>
      <c r="F24" s="37" t="s">
        <v>63</v>
      </c>
      <c r="G24" s="49" t="s">
        <v>60</v>
      </c>
      <c r="H24" s="37" t="s">
        <v>32</v>
      </c>
      <c r="I24" s="38">
        <v>400</v>
      </c>
      <c r="J24" s="39">
        <v>5</v>
      </c>
      <c r="K24" s="43">
        <f>listeVentes[[#This Row],[Prix de vente]]*listeVentes[[#This Row],[Quantité]]</f>
        <v>2000</v>
      </c>
      <c r="L24" s="9"/>
    </row>
    <row r="25" spans="1:12" ht="18" customHeight="1">
      <c r="A25" s="6"/>
      <c r="B25" s="9"/>
      <c r="C25" s="15">
        <f t="shared" si="0"/>
        <v>42</v>
      </c>
      <c r="D25" s="16">
        <v>44563</v>
      </c>
      <c r="E25" s="37" t="s">
        <v>39</v>
      </c>
      <c r="F25" s="37" t="s">
        <v>63</v>
      </c>
      <c r="G25" s="49" t="s">
        <v>60</v>
      </c>
      <c r="H25" s="37" t="s">
        <v>32</v>
      </c>
      <c r="I25" s="38">
        <v>400</v>
      </c>
      <c r="J25" s="39">
        <v>5</v>
      </c>
      <c r="K25" s="43">
        <f>listeVentes[[#This Row],[Prix de vente]]*listeVentes[[#This Row],[Quantité]]</f>
        <v>2000</v>
      </c>
      <c r="L25" s="9"/>
    </row>
    <row r="26" spans="1:12" ht="18" customHeight="1">
      <c r="A26" s="6"/>
      <c r="B26" s="9"/>
      <c r="C26" s="15">
        <f t="shared" si="0"/>
        <v>41</v>
      </c>
      <c r="D26" s="16">
        <v>44696</v>
      </c>
      <c r="E26" s="37" t="s">
        <v>38</v>
      </c>
      <c r="F26" s="37" t="s">
        <v>65</v>
      </c>
      <c r="G26" s="49" t="s">
        <v>60</v>
      </c>
      <c r="H26" s="37" t="s">
        <v>32</v>
      </c>
      <c r="I26" s="38">
        <v>800</v>
      </c>
      <c r="J26" s="39">
        <v>2</v>
      </c>
      <c r="K26" s="43">
        <f>listeVentes[[#This Row],[Prix de vente]]*listeVentes[[#This Row],[Quantité]]</f>
        <v>1600</v>
      </c>
      <c r="L26" s="9"/>
    </row>
    <row r="27" spans="1:12" ht="18" customHeight="1">
      <c r="A27" s="6"/>
      <c r="B27" s="9"/>
      <c r="C27" s="15">
        <f t="shared" si="0"/>
        <v>40</v>
      </c>
      <c r="D27" s="16">
        <v>44655</v>
      </c>
      <c r="E27" s="37" t="s">
        <v>38</v>
      </c>
      <c r="F27" s="37" t="s">
        <v>65</v>
      </c>
      <c r="G27" s="49" t="s">
        <v>60</v>
      </c>
      <c r="H27" s="37" t="s">
        <v>32</v>
      </c>
      <c r="I27" s="38">
        <v>800</v>
      </c>
      <c r="J27" s="39">
        <v>2</v>
      </c>
      <c r="K27" s="43">
        <f>listeVentes[[#This Row],[Prix de vente]]*listeVentes[[#This Row],[Quantité]]</f>
        <v>1600</v>
      </c>
      <c r="L27" s="9"/>
    </row>
    <row r="28" spans="1:12" ht="18" customHeight="1">
      <c r="A28" s="6"/>
      <c r="B28" s="9"/>
      <c r="C28" s="15">
        <f t="shared" si="0"/>
        <v>39</v>
      </c>
      <c r="D28" s="16">
        <v>44646</v>
      </c>
      <c r="E28" s="37" t="s">
        <v>38</v>
      </c>
      <c r="F28" s="37" t="s">
        <v>65</v>
      </c>
      <c r="G28" s="49" t="s">
        <v>60</v>
      </c>
      <c r="H28" s="37" t="s">
        <v>32</v>
      </c>
      <c r="I28" s="38">
        <v>800</v>
      </c>
      <c r="J28" s="39">
        <v>6</v>
      </c>
      <c r="K28" s="43">
        <f>listeVentes[[#This Row],[Prix de vente]]*listeVentes[[#This Row],[Quantité]]</f>
        <v>4800</v>
      </c>
      <c r="L28" s="9"/>
    </row>
    <row r="29" spans="1:12" ht="18" customHeight="1">
      <c r="A29" s="6"/>
      <c r="B29" s="9"/>
      <c r="C29" s="15">
        <f t="shared" si="0"/>
        <v>38</v>
      </c>
      <c r="D29" s="16">
        <v>44598</v>
      </c>
      <c r="E29" s="37" t="s">
        <v>38</v>
      </c>
      <c r="F29" s="37" t="s">
        <v>65</v>
      </c>
      <c r="G29" s="49" t="s">
        <v>60</v>
      </c>
      <c r="H29" s="37" t="s">
        <v>32</v>
      </c>
      <c r="I29" s="38">
        <v>800</v>
      </c>
      <c r="J29" s="39">
        <v>6</v>
      </c>
      <c r="K29" s="43">
        <f>listeVentes[[#This Row],[Prix de vente]]*listeVentes[[#This Row],[Quantité]]</f>
        <v>4800</v>
      </c>
      <c r="L29" s="9"/>
    </row>
    <row r="30" spans="1:12" ht="18" customHeight="1">
      <c r="A30" s="6"/>
      <c r="B30" s="9"/>
      <c r="C30" s="15">
        <f t="shared" si="0"/>
        <v>37</v>
      </c>
      <c r="D30" s="16">
        <v>44563</v>
      </c>
      <c r="E30" s="37" t="s">
        <v>38</v>
      </c>
      <c r="F30" s="37" t="s">
        <v>65</v>
      </c>
      <c r="G30" s="49" t="s">
        <v>60</v>
      </c>
      <c r="H30" s="37" t="s">
        <v>32</v>
      </c>
      <c r="I30" s="38">
        <v>800</v>
      </c>
      <c r="J30" s="39">
        <v>2</v>
      </c>
      <c r="K30" s="43">
        <f>listeVentes[[#This Row],[Prix de vente]]*listeVentes[[#This Row],[Quantité]]</f>
        <v>1600</v>
      </c>
      <c r="L30" s="9"/>
    </row>
    <row r="31" spans="1:12" ht="18" customHeight="1">
      <c r="A31" s="6"/>
      <c r="B31" s="9"/>
      <c r="C31" s="15">
        <f t="shared" si="0"/>
        <v>36</v>
      </c>
      <c r="D31" s="16">
        <v>44686</v>
      </c>
      <c r="E31" s="37" t="s">
        <v>36</v>
      </c>
      <c r="F31" s="37" t="s">
        <v>50</v>
      </c>
      <c r="G31" s="37" t="s">
        <v>59</v>
      </c>
      <c r="H31" s="37" t="s">
        <v>32</v>
      </c>
      <c r="I31" s="38">
        <v>550</v>
      </c>
      <c r="J31" s="39">
        <v>2</v>
      </c>
      <c r="K31" s="43">
        <f>listeVentes[[#This Row],[Prix de vente]]*listeVentes[[#This Row],[Quantité]]</f>
        <v>1100</v>
      </c>
      <c r="L31" s="9"/>
    </row>
    <row r="32" spans="1:12" ht="18" customHeight="1">
      <c r="A32" s="6"/>
      <c r="B32" s="9"/>
      <c r="C32" s="15">
        <f t="shared" si="0"/>
        <v>35</v>
      </c>
      <c r="D32" s="16">
        <v>44655</v>
      </c>
      <c r="E32" s="37" t="s">
        <v>36</v>
      </c>
      <c r="F32" s="37" t="s">
        <v>50</v>
      </c>
      <c r="G32" s="37" t="s">
        <v>59</v>
      </c>
      <c r="H32" s="37" t="s">
        <v>32</v>
      </c>
      <c r="I32" s="38">
        <v>550</v>
      </c>
      <c r="J32" s="39">
        <v>10</v>
      </c>
      <c r="K32" s="43">
        <f>listeVentes[[#This Row],[Prix de vente]]*listeVentes[[#This Row],[Quantité]]</f>
        <v>5500</v>
      </c>
      <c r="L32" s="9"/>
    </row>
    <row r="33" spans="1:12" ht="18" customHeight="1">
      <c r="A33" s="6"/>
      <c r="B33" s="9"/>
      <c r="C33" s="15">
        <f t="shared" si="0"/>
        <v>34</v>
      </c>
      <c r="D33" s="16">
        <v>44625</v>
      </c>
      <c r="E33" s="37" t="s">
        <v>36</v>
      </c>
      <c r="F33" s="37" t="s">
        <v>50</v>
      </c>
      <c r="G33" s="37" t="s">
        <v>59</v>
      </c>
      <c r="H33" s="37" t="s">
        <v>32</v>
      </c>
      <c r="I33" s="38">
        <v>520</v>
      </c>
      <c r="J33" s="39">
        <v>6</v>
      </c>
      <c r="K33" s="43">
        <f>listeVentes[[#This Row],[Prix de vente]]*listeVentes[[#This Row],[Quantité]]</f>
        <v>3120</v>
      </c>
      <c r="L33" s="9"/>
    </row>
    <row r="34" spans="1:12" ht="18" customHeight="1">
      <c r="A34" s="6"/>
      <c r="B34" s="9"/>
      <c r="C34" s="15">
        <f t="shared" si="0"/>
        <v>33</v>
      </c>
      <c r="D34" s="16">
        <v>44601</v>
      </c>
      <c r="E34" s="37" t="s">
        <v>36</v>
      </c>
      <c r="F34" s="37" t="s">
        <v>50</v>
      </c>
      <c r="G34" s="37" t="s">
        <v>59</v>
      </c>
      <c r="H34" s="37" t="s">
        <v>32</v>
      </c>
      <c r="I34" s="38">
        <v>600</v>
      </c>
      <c r="J34" s="39">
        <v>20</v>
      </c>
      <c r="K34" s="43">
        <f>listeVentes[[#This Row],[Prix de vente]]*listeVentes[[#This Row],[Quantité]]</f>
        <v>12000</v>
      </c>
      <c r="L34" s="9"/>
    </row>
    <row r="35" spans="1:12" ht="18" customHeight="1">
      <c r="A35" s="6"/>
      <c r="B35" s="9"/>
      <c r="C35" s="15">
        <f t="shared" si="0"/>
        <v>32</v>
      </c>
      <c r="D35" s="16">
        <v>44567</v>
      </c>
      <c r="E35" s="37" t="s">
        <v>36</v>
      </c>
      <c r="F35" s="37" t="s">
        <v>50</v>
      </c>
      <c r="G35" s="37" t="s">
        <v>59</v>
      </c>
      <c r="H35" s="37" t="s">
        <v>32</v>
      </c>
      <c r="I35" s="38">
        <v>550</v>
      </c>
      <c r="J35" s="39">
        <v>6</v>
      </c>
      <c r="K35" s="43">
        <f>listeVentes[[#This Row],[Prix de vente]]*listeVentes[[#This Row],[Quantité]]</f>
        <v>3300</v>
      </c>
      <c r="L35" s="9"/>
    </row>
    <row r="36" spans="1:12" ht="18" customHeight="1">
      <c r="A36" s="6"/>
      <c r="B36" s="9"/>
      <c r="C36" s="15">
        <f t="shared" si="0"/>
        <v>31</v>
      </c>
      <c r="D36" s="16">
        <v>44684</v>
      </c>
      <c r="E36" s="37" t="s">
        <v>35</v>
      </c>
      <c r="F36" s="37" t="s">
        <v>49</v>
      </c>
      <c r="G36" s="37" t="s">
        <v>59</v>
      </c>
      <c r="H36" s="37" t="s">
        <v>32</v>
      </c>
      <c r="I36" s="38">
        <v>800</v>
      </c>
      <c r="J36" s="39">
        <v>10</v>
      </c>
      <c r="K36" s="43">
        <f>listeVentes[[#This Row],[Prix de vente]]*listeVentes[[#This Row],[Quantité]]</f>
        <v>8000</v>
      </c>
      <c r="L36" s="9"/>
    </row>
    <row r="37" spans="1:12" ht="18" customHeight="1">
      <c r="A37" s="6"/>
      <c r="B37" s="9"/>
      <c r="C37" s="15">
        <f t="shared" si="0"/>
        <v>30</v>
      </c>
      <c r="D37" s="16">
        <v>44672</v>
      </c>
      <c r="E37" s="37" t="s">
        <v>35</v>
      </c>
      <c r="F37" s="37" t="s">
        <v>49</v>
      </c>
      <c r="G37" s="37" t="s">
        <v>59</v>
      </c>
      <c r="H37" s="37" t="s">
        <v>32</v>
      </c>
      <c r="I37" s="38">
        <v>800</v>
      </c>
      <c r="J37" s="39">
        <v>5</v>
      </c>
      <c r="K37" s="43">
        <f>listeVentes[[#This Row],[Prix de vente]]*listeVentes[[#This Row],[Quantité]]</f>
        <v>4000</v>
      </c>
      <c r="L37" s="9"/>
    </row>
    <row r="38" spans="1:12" ht="18" customHeight="1">
      <c r="A38" s="6"/>
      <c r="B38" s="9"/>
      <c r="C38" s="15">
        <f t="shared" si="0"/>
        <v>29</v>
      </c>
      <c r="D38" s="16">
        <v>44626</v>
      </c>
      <c r="E38" s="37" t="s">
        <v>35</v>
      </c>
      <c r="F38" s="37" t="s">
        <v>49</v>
      </c>
      <c r="G38" s="37" t="s">
        <v>59</v>
      </c>
      <c r="H38" s="37" t="s">
        <v>32</v>
      </c>
      <c r="I38" s="38">
        <v>820</v>
      </c>
      <c r="J38" s="39">
        <v>10</v>
      </c>
      <c r="K38" s="43">
        <f>listeVentes[[#This Row],[Prix de vente]]*listeVentes[[#This Row],[Quantité]]</f>
        <v>8200</v>
      </c>
      <c r="L38" s="9"/>
    </row>
    <row r="39" spans="1:12" ht="18" customHeight="1">
      <c r="A39" s="6"/>
      <c r="B39" s="9"/>
      <c r="C39" s="15">
        <f t="shared" si="0"/>
        <v>28</v>
      </c>
      <c r="D39" s="16">
        <v>44597</v>
      </c>
      <c r="E39" s="37" t="s">
        <v>35</v>
      </c>
      <c r="F39" s="37" t="s">
        <v>49</v>
      </c>
      <c r="G39" s="37" t="s">
        <v>59</v>
      </c>
      <c r="H39" s="37" t="s">
        <v>32</v>
      </c>
      <c r="I39" s="38">
        <v>820</v>
      </c>
      <c r="J39" s="39">
        <v>5</v>
      </c>
      <c r="K39" s="43">
        <f>listeVentes[[#This Row],[Prix de vente]]*listeVentes[[#This Row],[Quantité]]</f>
        <v>4100</v>
      </c>
      <c r="L39" s="9"/>
    </row>
    <row r="40" spans="1:12" ht="18" customHeight="1">
      <c r="A40" s="6"/>
      <c r="B40" s="9"/>
      <c r="C40" s="15">
        <f t="shared" si="0"/>
        <v>27</v>
      </c>
      <c r="D40" s="16">
        <v>44563</v>
      </c>
      <c r="E40" s="37" t="s">
        <v>35</v>
      </c>
      <c r="F40" s="37" t="s">
        <v>49</v>
      </c>
      <c r="G40" s="37" t="s">
        <v>59</v>
      </c>
      <c r="H40" s="37" t="s">
        <v>32</v>
      </c>
      <c r="I40" s="38">
        <v>800</v>
      </c>
      <c r="J40" s="39">
        <v>10</v>
      </c>
      <c r="K40" s="43">
        <f>listeVentes[[#This Row],[Prix de vente]]*listeVentes[[#This Row],[Quantité]]</f>
        <v>8000</v>
      </c>
      <c r="L40" s="9"/>
    </row>
    <row r="41" spans="1:12" ht="18" customHeight="1">
      <c r="A41" s="6"/>
      <c r="B41" s="9"/>
      <c r="C41" s="15">
        <f t="shared" si="0"/>
        <v>26</v>
      </c>
      <c r="D41" s="16">
        <v>44687</v>
      </c>
      <c r="E41" s="37" t="s">
        <v>53</v>
      </c>
      <c r="F41" s="37" t="s">
        <v>66</v>
      </c>
      <c r="G41" s="37" t="s">
        <v>58</v>
      </c>
      <c r="H41" s="37" t="s">
        <v>32</v>
      </c>
      <c r="I41" s="38">
        <v>1500</v>
      </c>
      <c r="J41" s="39">
        <v>12</v>
      </c>
      <c r="K41" s="43">
        <f>listeVentes[[#This Row],[Prix de vente]]*listeVentes[[#This Row],[Quantité]]</f>
        <v>18000</v>
      </c>
      <c r="L41" s="9"/>
    </row>
    <row r="42" spans="1:12" ht="18" customHeight="1">
      <c r="A42" s="6"/>
      <c r="B42" s="9"/>
      <c r="C42" s="15">
        <f t="shared" ref="C42:C62" si="1">C43+1</f>
        <v>25</v>
      </c>
      <c r="D42" s="16">
        <v>44655</v>
      </c>
      <c r="E42" s="37" t="s">
        <v>53</v>
      </c>
      <c r="F42" s="37" t="s">
        <v>66</v>
      </c>
      <c r="G42" s="37" t="s">
        <v>58</v>
      </c>
      <c r="H42" s="37" t="s">
        <v>32</v>
      </c>
      <c r="I42" s="38">
        <v>1500</v>
      </c>
      <c r="J42" s="39">
        <v>30</v>
      </c>
      <c r="K42" s="43">
        <f>listeVentes[[#This Row],[Prix de vente]]*listeVentes[[#This Row],[Quantité]]</f>
        <v>45000</v>
      </c>
      <c r="L42" s="9"/>
    </row>
    <row r="43" spans="1:12" ht="18" customHeight="1">
      <c r="A43" s="6"/>
      <c r="B43" s="9"/>
      <c r="C43" s="15">
        <f t="shared" si="1"/>
        <v>24</v>
      </c>
      <c r="D43" s="16">
        <v>44626</v>
      </c>
      <c r="E43" s="37" t="s">
        <v>53</v>
      </c>
      <c r="F43" s="37" t="s">
        <v>66</v>
      </c>
      <c r="G43" s="37" t="s">
        <v>58</v>
      </c>
      <c r="H43" s="37" t="s">
        <v>32</v>
      </c>
      <c r="I43" s="38">
        <v>1500</v>
      </c>
      <c r="J43" s="39">
        <v>15</v>
      </c>
      <c r="K43" s="43">
        <f>listeVentes[[#This Row],[Prix de vente]]*listeVentes[[#This Row],[Quantité]]</f>
        <v>22500</v>
      </c>
      <c r="L43" s="9"/>
    </row>
    <row r="44" spans="1:12" ht="18" customHeight="1">
      <c r="A44" s="6"/>
      <c r="B44" s="9"/>
      <c r="C44" s="15">
        <f t="shared" si="1"/>
        <v>23</v>
      </c>
      <c r="D44" s="16">
        <v>44594</v>
      </c>
      <c r="E44" s="37" t="s">
        <v>53</v>
      </c>
      <c r="F44" s="37" t="s">
        <v>66</v>
      </c>
      <c r="G44" s="37" t="s">
        <v>58</v>
      </c>
      <c r="H44" s="37" t="s">
        <v>32</v>
      </c>
      <c r="I44" s="38">
        <v>1500</v>
      </c>
      <c r="J44" s="39">
        <v>20</v>
      </c>
      <c r="K44" s="43">
        <f>listeVentes[[#This Row],[Prix de vente]]*listeVentes[[#This Row],[Quantité]]</f>
        <v>30000</v>
      </c>
      <c r="L44" s="9"/>
    </row>
    <row r="45" spans="1:12" ht="18" customHeight="1">
      <c r="A45" s="6"/>
      <c r="B45" s="9"/>
      <c r="C45" s="15">
        <f t="shared" si="1"/>
        <v>22</v>
      </c>
      <c r="D45" s="16">
        <v>44563</v>
      </c>
      <c r="E45" s="37" t="s">
        <v>53</v>
      </c>
      <c r="F45" s="37" t="s">
        <v>66</v>
      </c>
      <c r="G45" s="37" t="s">
        <v>58</v>
      </c>
      <c r="H45" s="37" t="s">
        <v>32</v>
      </c>
      <c r="I45" s="38">
        <v>1400</v>
      </c>
      <c r="J45" s="39">
        <v>10</v>
      </c>
      <c r="K45" s="43">
        <f>listeVentes[[#This Row],[Prix de vente]]*listeVentes[[#This Row],[Quantité]]</f>
        <v>14000</v>
      </c>
      <c r="L45" s="9"/>
    </row>
    <row r="46" spans="1:12" ht="18" customHeight="1">
      <c r="A46" s="6"/>
      <c r="B46" s="9"/>
      <c r="C46" s="15">
        <f t="shared" si="1"/>
        <v>21</v>
      </c>
      <c r="D46" s="16">
        <v>44687</v>
      </c>
      <c r="E46" s="37" t="s">
        <v>52</v>
      </c>
      <c r="F46" s="37" t="s">
        <v>51</v>
      </c>
      <c r="G46" s="37" t="s">
        <v>58</v>
      </c>
      <c r="H46" s="37" t="s">
        <v>32</v>
      </c>
      <c r="I46" s="38">
        <v>720</v>
      </c>
      <c r="J46" s="39">
        <v>23</v>
      </c>
      <c r="K46" s="43">
        <f>listeVentes[[#This Row],[Prix de vente]]*listeVentes[[#This Row],[Quantité]]</f>
        <v>16560</v>
      </c>
      <c r="L46" s="9"/>
    </row>
    <row r="47" spans="1:12" ht="18" customHeight="1">
      <c r="A47" s="6"/>
      <c r="B47" s="9"/>
      <c r="C47" s="15">
        <f t="shared" si="1"/>
        <v>20</v>
      </c>
      <c r="D47" s="16">
        <v>44660</v>
      </c>
      <c r="E47" s="37" t="s">
        <v>52</v>
      </c>
      <c r="F47" s="37" t="s">
        <v>51</v>
      </c>
      <c r="G47" s="37" t="s">
        <v>58</v>
      </c>
      <c r="H47" s="37" t="s">
        <v>32</v>
      </c>
      <c r="I47" s="38">
        <v>680</v>
      </c>
      <c r="J47" s="39">
        <v>2</v>
      </c>
      <c r="K47" s="43">
        <f>listeVentes[[#This Row],[Prix de vente]]*listeVentes[[#This Row],[Quantité]]</f>
        <v>1360</v>
      </c>
      <c r="L47" s="9"/>
    </row>
    <row r="48" spans="1:12" ht="18" customHeight="1">
      <c r="A48" s="6"/>
      <c r="B48" s="9"/>
      <c r="C48" s="15">
        <f t="shared" si="1"/>
        <v>19</v>
      </c>
      <c r="D48" s="16">
        <v>44626</v>
      </c>
      <c r="E48" s="37" t="s">
        <v>52</v>
      </c>
      <c r="F48" s="37" t="s">
        <v>51</v>
      </c>
      <c r="G48" s="37" t="s">
        <v>58</v>
      </c>
      <c r="H48" s="37" t="s">
        <v>32</v>
      </c>
      <c r="I48" s="38">
        <v>700</v>
      </c>
      <c r="J48" s="39">
        <v>20</v>
      </c>
      <c r="K48" s="43">
        <f>listeVentes[[#This Row],[Prix de vente]]*listeVentes[[#This Row],[Quantité]]</f>
        <v>14000</v>
      </c>
      <c r="L48" s="9"/>
    </row>
    <row r="49" spans="1:12" ht="18" customHeight="1">
      <c r="A49" s="6"/>
      <c r="B49" s="9"/>
      <c r="C49" s="15">
        <f t="shared" si="1"/>
        <v>18</v>
      </c>
      <c r="D49" s="16">
        <v>44614</v>
      </c>
      <c r="E49" s="37" t="s">
        <v>52</v>
      </c>
      <c r="F49" s="37" t="s">
        <v>51</v>
      </c>
      <c r="G49" s="37" t="s">
        <v>58</v>
      </c>
      <c r="H49" s="37" t="s">
        <v>32</v>
      </c>
      <c r="I49" s="38">
        <v>670</v>
      </c>
      <c r="J49" s="39">
        <v>5</v>
      </c>
      <c r="K49" s="43">
        <f>listeVentes[[#This Row],[Prix de vente]]*listeVentes[[#This Row],[Quantité]]</f>
        <v>3350</v>
      </c>
      <c r="L49" s="9"/>
    </row>
    <row r="50" spans="1:12" ht="18" customHeight="1">
      <c r="A50" s="6"/>
      <c r="B50" s="9"/>
      <c r="C50" s="15">
        <f t="shared" si="1"/>
        <v>17</v>
      </c>
      <c r="D50" s="16">
        <v>44587</v>
      </c>
      <c r="E50" s="37" t="s">
        <v>52</v>
      </c>
      <c r="F50" s="37" t="s">
        <v>51</v>
      </c>
      <c r="G50" s="37" t="s">
        <v>58</v>
      </c>
      <c r="H50" s="37" t="s">
        <v>32</v>
      </c>
      <c r="I50" s="38">
        <v>680</v>
      </c>
      <c r="J50" s="39">
        <v>8</v>
      </c>
      <c r="K50" s="43">
        <f>listeVentes[[#This Row],[Prix de vente]]*listeVentes[[#This Row],[Quantité]]</f>
        <v>5440</v>
      </c>
      <c r="L50" s="9"/>
    </row>
    <row r="51" spans="1:12" ht="18" customHeight="1">
      <c r="A51" s="6"/>
      <c r="B51" s="9"/>
      <c r="C51" s="15">
        <f t="shared" si="1"/>
        <v>16</v>
      </c>
      <c r="D51" s="16">
        <v>44673</v>
      </c>
      <c r="E51" s="37" t="s">
        <v>56</v>
      </c>
      <c r="F51" s="37" t="s">
        <v>18</v>
      </c>
      <c r="G51" s="37" t="s">
        <v>19</v>
      </c>
      <c r="H51" s="37" t="s">
        <v>22</v>
      </c>
      <c r="I51" s="38">
        <v>4.5999999999999996</v>
      </c>
      <c r="J51" s="39">
        <v>60</v>
      </c>
      <c r="K51" s="43">
        <f>listeVentes[[#This Row],[Prix de vente]]*listeVentes[[#This Row],[Quantité]]</f>
        <v>276</v>
      </c>
      <c r="L51" s="9"/>
    </row>
    <row r="52" spans="1:12" ht="18" customHeight="1">
      <c r="A52" s="6"/>
      <c r="B52" s="9"/>
      <c r="C52" s="15">
        <f t="shared" si="1"/>
        <v>15</v>
      </c>
      <c r="D52" s="16">
        <v>44652</v>
      </c>
      <c r="E52" s="37" t="s">
        <v>56</v>
      </c>
      <c r="F52" s="37" t="s">
        <v>18</v>
      </c>
      <c r="G52" s="37" t="s">
        <v>19</v>
      </c>
      <c r="H52" s="37" t="s">
        <v>22</v>
      </c>
      <c r="I52" s="38">
        <v>5</v>
      </c>
      <c r="J52" s="39">
        <v>60</v>
      </c>
      <c r="K52" s="43">
        <f>listeVentes[[#This Row],[Prix de vente]]*listeVentes[[#This Row],[Quantité]]</f>
        <v>300</v>
      </c>
      <c r="L52" s="9"/>
    </row>
    <row r="53" spans="1:12" ht="18" customHeight="1">
      <c r="A53" s="6"/>
      <c r="B53" s="9"/>
      <c r="C53" s="15">
        <f t="shared" si="1"/>
        <v>14</v>
      </c>
      <c r="D53" s="16">
        <v>44629</v>
      </c>
      <c r="E53" s="37" t="s">
        <v>56</v>
      </c>
      <c r="F53" s="37" t="s">
        <v>18</v>
      </c>
      <c r="G53" s="37" t="s">
        <v>19</v>
      </c>
      <c r="H53" s="37" t="s">
        <v>22</v>
      </c>
      <c r="I53" s="38">
        <v>5</v>
      </c>
      <c r="J53" s="39">
        <v>60</v>
      </c>
      <c r="K53" s="43">
        <f>listeVentes[[#This Row],[Prix de vente]]*listeVentes[[#This Row],[Quantité]]</f>
        <v>300</v>
      </c>
      <c r="L53" s="9"/>
    </row>
    <row r="54" spans="1:12" ht="18" customHeight="1">
      <c r="A54" s="6"/>
      <c r="B54" s="9"/>
      <c r="C54" s="15">
        <f t="shared" si="1"/>
        <v>13</v>
      </c>
      <c r="D54" s="16">
        <v>44598</v>
      </c>
      <c r="E54" s="37" t="s">
        <v>56</v>
      </c>
      <c r="F54" s="37" t="s">
        <v>18</v>
      </c>
      <c r="G54" s="37" t="s">
        <v>19</v>
      </c>
      <c r="H54" s="37" t="s">
        <v>22</v>
      </c>
      <c r="I54" s="38">
        <v>5</v>
      </c>
      <c r="J54" s="39">
        <v>12</v>
      </c>
      <c r="K54" s="43">
        <f>listeVentes[[#This Row],[Prix de vente]]*listeVentes[[#This Row],[Quantité]]</f>
        <v>60</v>
      </c>
      <c r="L54" s="9"/>
    </row>
    <row r="55" spans="1:12" ht="18" customHeight="1">
      <c r="A55" s="6"/>
      <c r="B55" s="9"/>
      <c r="C55" s="15">
        <f t="shared" si="1"/>
        <v>12</v>
      </c>
      <c r="D55" s="16">
        <v>44689</v>
      </c>
      <c r="E55" s="37" t="s">
        <v>55</v>
      </c>
      <c r="F55" s="37" t="s">
        <v>18</v>
      </c>
      <c r="G55" s="37" t="s">
        <v>19</v>
      </c>
      <c r="H55" s="37" t="s">
        <v>21</v>
      </c>
      <c r="I55" s="38">
        <v>3</v>
      </c>
      <c r="J55" s="39">
        <v>10</v>
      </c>
      <c r="K55" s="43">
        <f>listeVentes[[#This Row],[Prix de vente]]*listeVentes[[#This Row],[Quantité]]</f>
        <v>30</v>
      </c>
      <c r="L55" s="9"/>
    </row>
    <row r="56" spans="1:12" ht="18" customHeight="1">
      <c r="A56" s="6"/>
      <c r="B56" s="9"/>
      <c r="C56" s="15">
        <f t="shared" si="1"/>
        <v>11</v>
      </c>
      <c r="D56" s="16">
        <v>44656</v>
      </c>
      <c r="E56" s="37" t="s">
        <v>55</v>
      </c>
      <c r="F56" s="37" t="s">
        <v>18</v>
      </c>
      <c r="G56" s="37" t="s">
        <v>19</v>
      </c>
      <c r="H56" s="37" t="s">
        <v>21</v>
      </c>
      <c r="I56" s="38">
        <v>2.7</v>
      </c>
      <c r="J56" s="39">
        <v>15</v>
      </c>
      <c r="K56" s="43">
        <f>listeVentes[[#This Row],[Prix de vente]]*listeVentes[[#This Row],[Quantité]]</f>
        <v>40.5</v>
      </c>
      <c r="L56" s="9"/>
    </row>
    <row r="57" spans="1:12" ht="18" customHeight="1">
      <c r="A57" s="6"/>
      <c r="B57" s="9"/>
      <c r="C57" s="15">
        <f t="shared" si="1"/>
        <v>10</v>
      </c>
      <c r="D57" s="16">
        <v>44623</v>
      </c>
      <c r="E57" s="37" t="s">
        <v>55</v>
      </c>
      <c r="F57" s="37" t="s">
        <v>18</v>
      </c>
      <c r="G57" s="37" t="s">
        <v>19</v>
      </c>
      <c r="H57" s="37" t="s">
        <v>21</v>
      </c>
      <c r="I57" s="38">
        <v>2.6</v>
      </c>
      <c r="J57" s="39">
        <v>15</v>
      </c>
      <c r="K57" s="43">
        <f>listeVentes[[#This Row],[Prix de vente]]*listeVentes[[#This Row],[Quantité]]</f>
        <v>39</v>
      </c>
      <c r="L57" s="9"/>
    </row>
    <row r="58" spans="1:12" ht="18" customHeight="1">
      <c r="A58" s="6"/>
      <c r="B58" s="9"/>
      <c r="C58" s="15">
        <f t="shared" si="1"/>
        <v>9</v>
      </c>
      <c r="D58" s="16">
        <v>44595</v>
      </c>
      <c r="E58" s="37" t="s">
        <v>55</v>
      </c>
      <c r="F58" s="37" t="s">
        <v>18</v>
      </c>
      <c r="G58" s="37" t="s">
        <v>19</v>
      </c>
      <c r="H58" s="37" t="s">
        <v>21</v>
      </c>
      <c r="I58" s="38">
        <v>2.5</v>
      </c>
      <c r="J58" s="39">
        <v>2</v>
      </c>
      <c r="K58" s="43">
        <f>listeVentes[[#This Row],[Prix de vente]]*listeVentes[[#This Row],[Quantité]]</f>
        <v>5</v>
      </c>
      <c r="L58" s="9"/>
    </row>
    <row r="59" spans="1:12" ht="18" customHeight="1">
      <c r="A59" s="6"/>
      <c r="B59" s="9"/>
      <c r="C59" s="15">
        <f t="shared" si="1"/>
        <v>8</v>
      </c>
      <c r="D59" s="16">
        <v>44703</v>
      </c>
      <c r="E59" s="37" t="s">
        <v>54</v>
      </c>
      <c r="F59" s="37" t="s">
        <v>18</v>
      </c>
      <c r="G59" s="37" t="s">
        <v>19</v>
      </c>
      <c r="H59" s="37" t="s">
        <v>20</v>
      </c>
      <c r="I59" s="38">
        <v>0.3</v>
      </c>
      <c r="J59" s="39">
        <v>4</v>
      </c>
      <c r="K59" s="43">
        <f>listeVentes[[#This Row],[Prix de vente]]*listeVentes[[#This Row],[Quantité]]</f>
        <v>1.2</v>
      </c>
      <c r="L59" s="9"/>
    </row>
    <row r="60" spans="1:12" ht="18" customHeight="1">
      <c r="A60" s="6"/>
      <c r="B60" s="9"/>
      <c r="C60" s="15">
        <f t="shared" si="1"/>
        <v>7</v>
      </c>
      <c r="D60" s="16">
        <v>44655</v>
      </c>
      <c r="E60" s="37" t="s">
        <v>54</v>
      </c>
      <c r="F60" s="37" t="s">
        <v>18</v>
      </c>
      <c r="G60" s="37" t="s">
        <v>19</v>
      </c>
      <c r="H60" s="37" t="s">
        <v>20</v>
      </c>
      <c r="I60" s="38">
        <v>0.3</v>
      </c>
      <c r="J60" s="39">
        <v>15</v>
      </c>
      <c r="K60" s="43">
        <f>listeVentes[[#This Row],[Prix de vente]]*listeVentes[[#This Row],[Quantité]]</f>
        <v>4.5</v>
      </c>
      <c r="L60" s="9"/>
    </row>
    <row r="61" spans="1:12" ht="18" customHeight="1">
      <c r="A61" s="6"/>
      <c r="B61" s="9"/>
      <c r="C61" s="15">
        <f t="shared" si="1"/>
        <v>6</v>
      </c>
      <c r="D61" s="16">
        <v>44626</v>
      </c>
      <c r="E61" s="37" t="s">
        <v>54</v>
      </c>
      <c r="F61" s="37" t="s">
        <v>18</v>
      </c>
      <c r="G61" s="37" t="s">
        <v>19</v>
      </c>
      <c r="H61" s="37" t="s">
        <v>20</v>
      </c>
      <c r="I61" s="38">
        <v>0.3</v>
      </c>
      <c r="J61" s="39">
        <v>20</v>
      </c>
      <c r="K61" s="43">
        <f>listeVentes[[#This Row],[Prix de vente]]*listeVentes[[#This Row],[Quantité]]</f>
        <v>6</v>
      </c>
      <c r="L61" s="9"/>
    </row>
    <row r="62" spans="1:12" ht="18" customHeight="1">
      <c r="A62" s="6"/>
      <c r="B62" s="9"/>
      <c r="C62" s="15">
        <f t="shared" si="1"/>
        <v>5</v>
      </c>
      <c r="D62" s="16">
        <v>44597</v>
      </c>
      <c r="E62" s="37" t="s">
        <v>54</v>
      </c>
      <c r="F62" s="37" t="s">
        <v>18</v>
      </c>
      <c r="G62" s="37" t="s">
        <v>19</v>
      </c>
      <c r="H62" s="37" t="s">
        <v>20</v>
      </c>
      <c r="I62" s="38">
        <v>0.3</v>
      </c>
      <c r="J62" s="39">
        <v>15</v>
      </c>
      <c r="K62" s="43">
        <f>listeVentes[[#This Row],[Prix de vente]]*listeVentes[[#This Row],[Quantité]]</f>
        <v>4.5</v>
      </c>
      <c r="L62" s="9"/>
    </row>
    <row r="63" spans="1:12" ht="18" customHeight="1">
      <c r="A63" s="6"/>
      <c r="B63" s="9"/>
      <c r="C63" s="15">
        <v>4</v>
      </c>
      <c r="D63" s="16">
        <v>44584</v>
      </c>
      <c r="E63" s="37" t="s">
        <v>55</v>
      </c>
      <c r="F63" s="13" t="s">
        <v>18</v>
      </c>
      <c r="G63" s="13" t="s">
        <v>19</v>
      </c>
      <c r="H63" s="13" t="s">
        <v>21</v>
      </c>
      <c r="I63" s="38">
        <v>3</v>
      </c>
      <c r="J63" s="39">
        <v>6</v>
      </c>
      <c r="K63" s="14">
        <f>listeVentes[[#This Row],[Prix de vente]]*listeVentes[[#This Row],[Quantité]]</f>
        <v>18</v>
      </c>
      <c r="L63" s="9"/>
    </row>
    <row r="64" spans="1:12" ht="18" customHeight="1">
      <c r="A64" s="6"/>
      <c r="B64" s="9"/>
      <c r="C64" s="15">
        <v>3</v>
      </c>
      <c r="D64" s="16">
        <v>44582</v>
      </c>
      <c r="E64" s="13" t="s">
        <v>54</v>
      </c>
      <c r="F64" s="13" t="s">
        <v>18</v>
      </c>
      <c r="G64" s="13" t="s">
        <v>19</v>
      </c>
      <c r="H64" s="13" t="s">
        <v>20</v>
      </c>
      <c r="I64" s="14">
        <v>0.3</v>
      </c>
      <c r="J64" s="13">
        <v>5</v>
      </c>
      <c r="K64" s="14">
        <f>listeVentes[[#This Row],[Prix de vente]]*listeVentes[[#This Row],[Quantité]]</f>
        <v>1.5</v>
      </c>
      <c r="L64" s="9"/>
    </row>
    <row r="65" spans="1:12" ht="18" customHeight="1">
      <c r="A65" s="6"/>
      <c r="B65" s="9"/>
      <c r="C65" s="15">
        <v>2</v>
      </c>
      <c r="D65" s="16">
        <v>44578</v>
      </c>
      <c r="E65" s="13" t="s">
        <v>55</v>
      </c>
      <c r="F65" s="13" t="s">
        <v>18</v>
      </c>
      <c r="G65" s="13" t="s">
        <v>19</v>
      </c>
      <c r="H65" s="13" t="s">
        <v>21</v>
      </c>
      <c r="I65" s="14">
        <v>2.2000000000000002</v>
      </c>
      <c r="J65" s="13">
        <v>6</v>
      </c>
      <c r="K65" s="14">
        <f>listeVentes[[#This Row],[Prix de vente]]*listeVentes[[#This Row],[Quantité]]</f>
        <v>13.200000000000001</v>
      </c>
      <c r="L65" s="9"/>
    </row>
    <row r="66" spans="1:12" ht="18" customHeight="1">
      <c r="B66" s="9"/>
      <c r="C66" s="15">
        <v>1</v>
      </c>
      <c r="D66" s="16">
        <v>44571</v>
      </c>
      <c r="E66" s="13" t="s">
        <v>56</v>
      </c>
      <c r="F66" s="13" t="s">
        <v>18</v>
      </c>
      <c r="G66" s="13" t="s">
        <v>19</v>
      </c>
      <c r="H66" s="13" t="s">
        <v>22</v>
      </c>
      <c r="I66" s="14">
        <v>4.2</v>
      </c>
      <c r="J66" s="13">
        <v>3</v>
      </c>
      <c r="K66" s="14">
        <f>listeVentes[[#This Row],[Prix de vente]]*listeVentes[[#This Row],[Quantité]]</f>
        <v>12.600000000000001</v>
      </c>
      <c r="L66" s="9"/>
    </row>
    <row r="67" spans="1:12" ht="18" customHeight="1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</row>
    <row r="68" spans="1:12" ht="18" customHeight="1"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</row>
    <row r="69" spans="1:12" ht="18" customHeight="1"/>
    <row r="70" spans="1:12" ht="20" customHeight="1"/>
  </sheetData>
  <mergeCells count="2">
    <mergeCell ref="C3:K3"/>
    <mergeCell ref="C4:J4"/>
  </mergeCells>
  <dataValidations count="1">
    <dataValidation type="date" operator="greaterThan" allowBlank="1" showInputMessage="1" showErrorMessage="1" error="Veuillez saisir une date correcte" sqref="D7:D63">
      <formula1>44561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S20"/>
  <sheetViews>
    <sheetView topLeftCell="C1" zoomScale="115" zoomScaleNormal="115" workbookViewId="0">
      <selection activeCell="D6" sqref="D6"/>
    </sheetView>
  </sheetViews>
  <sheetFormatPr baseColWidth="10" defaultColWidth="8.90625" defaultRowHeight="14.5"/>
  <cols>
    <col min="1" max="2" width="3.81640625" style="1" customWidth="1"/>
    <col min="3" max="3" width="11.453125" style="1" customWidth="1"/>
    <col min="4" max="4" width="25.453125" style="1" customWidth="1"/>
    <col min="5" max="5" width="14.453125" style="1" customWidth="1"/>
    <col min="6" max="6" width="16.1796875" style="1" customWidth="1"/>
    <col min="7" max="7" width="13.54296875" style="1" customWidth="1"/>
    <col min="8" max="8" width="12.90625" style="1" customWidth="1"/>
    <col min="9" max="9" width="9.453125" style="1" customWidth="1"/>
    <col min="10" max="10" width="8.6328125" style="1" customWidth="1"/>
    <col min="11" max="11" width="12" style="1" customWidth="1"/>
    <col min="12" max="12" width="12.54296875" style="1" customWidth="1"/>
    <col min="13" max="13" width="13.08984375" style="1" customWidth="1"/>
    <col min="14" max="14" width="13.1796875" style="1" customWidth="1"/>
    <col min="15" max="15" width="3.81640625" style="1" customWidth="1"/>
    <col min="16" max="27" width="12.81640625" style="1" customWidth="1"/>
    <col min="28" max="16384" width="8.90625" style="1"/>
  </cols>
  <sheetData>
    <row r="1" spans="1:19" ht="18.649999999999999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</row>
    <row r="2" spans="1:19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</row>
    <row r="3" spans="1:19" ht="21.65" customHeight="1">
      <c r="A3" s="5"/>
      <c r="B3" s="9"/>
      <c r="C3" s="73" t="s">
        <v>34</v>
      </c>
      <c r="D3" s="73"/>
      <c r="E3" s="23"/>
      <c r="F3" s="23"/>
      <c r="G3" s="23"/>
      <c r="H3" s="71"/>
      <c r="I3" s="71"/>
      <c r="J3" s="23"/>
      <c r="K3" s="23"/>
      <c r="L3" s="23"/>
      <c r="M3" s="23"/>
      <c r="N3" s="23"/>
      <c r="O3" s="3"/>
      <c r="P3" s="5"/>
      <c r="Q3" s="5"/>
      <c r="R3" s="5"/>
      <c r="S3" s="5"/>
    </row>
    <row r="4" spans="1:19" ht="15" customHeight="1">
      <c r="B4" s="9"/>
      <c r="C4" s="73"/>
      <c r="D4" s="73"/>
      <c r="E4" s="24"/>
      <c r="F4" s="24"/>
      <c r="G4" s="24"/>
      <c r="H4" s="72"/>
      <c r="I4" s="72"/>
      <c r="J4" s="72"/>
      <c r="K4" s="23"/>
      <c r="L4" s="23"/>
      <c r="M4" s="23"/>
      <c r="N4" s="23"/>
      <c r="O4" s="3"/>
    </row>
    <row r="5" spans="1:19" ht="18" customHeight="1">
      <c r="A5" s="6"/>
      <c r="B5" s="9"/>
      <c r="C5" s="17" t="s">
        <v>14</v>
      </c>
      <c r="D5" s="18" t="s">
        <v>0</v>
      </c>
      <c r="E5" s="18" t="s">
        <v>15</v>
      </c>
      <c r="F5" s="18" t="s">
        <v>8</v>
      </c>
      <c r="G5" s="18" t="s">
        <v>3</v>
      </c>
      <c r="H5" s="18" t="s">
        <v>10</v>
      </c>
      <c r="I5" s="18" t="s">
        <v>12</v>
      </c>
      <c r="J5" s="18" t="s">
        <v>13</v>
      </c>
      <c r="K5" s="18" t="s">
        <v>11</v>
      </c>
      <c r="L5" s="18" t="s">
        <v>37</v>
      </c>
      <c r="M5" s="18" t="s">
        <v>4</v>
      </c>
      <c r="N5" s="19" t="s">
        <v>16</v>
      </c>
      <c r="O5" s="9"/>
    </row>
    <row r="6" spans="1:19" ht="18" customHeight="1">
      <c r="A6" s="6"/>
      <c r="B6" s="9"/>
      <c r="C6" s="25" t="s">
        <v>52</v>
      </c>
      <c r="D6" s="20" t="str">
        <f>IFERROR(VLOOKUP(listeInventaire[[#This Row],[Référence]],listeProduits[],2,FALSE),"")</f>
        <v>GOOGLE PIXEL 5</v>
      </c>
      <c r="E6" s="20" t="str">
        <f>IFERROR(VLOOKUP(listeInventaire[[#This Row],[Référence]],listeProduits[],3,FALSE),"")</f>
        <v>SmartPhone</v>
      </c>
      <c r="F6" s="20" t="str">
        <f>IFERROR(VLOOKUP(listeInventaire[[#This Row],[Référence]],listeProduits[],4,FALSE),"")</f>
        <v>1 unité</v>
      </c>
      <c r="G6" s="22">
        <f>IFERROR(VLOOKUP(listeInventaire[[#This Row],[Référence]],listeProduits[],5,FALSE),"")</f>
        <v>10</v>
      </c>
      <c r="H6" s="22">
        <f>IFERROR(VLOOKUP(listeInventaire[[#This Row],[Référence]],listeProduits[],6,FALSE),"")</f>
        <v>20</v>
      </c>
      <c r="I6" s="22">
        <f>SUMIF(listeAchats[Référence],listeInventaire[[#This Row],[Référence]],listeAchats[Quantité])</f>
        <v>55</v>
      </c>
      <c r="J6" s="22">
        <f>SUMIF(listeVentes[Référence],listeInventaire[[#This Row],[Référence]],listeVentes[Quantité])</f>
        <v>60</v>
      </c>
      <c r="K6" s="22">
        <f>IFERROR(listeInventaire[[#This Row],[Stock initial]]+listeInventaire[[#This Row],[Entrées]]-listeInventaire[[#This Row],[Sorties]],"")</f>
        <v>15</v>
      </c>
      <c r="L6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599.4666666666667</v>
      </c>
      <c r="M6" s="21">
        <f>IFERROR(listeInventaire[[#This Row],[Stock final]]*listeInventaire[[#This Row],[CUMP]],"")</f>
        <v>8992</v>
      </c>
      <c r="N6" s="20" t="str">
        <f>IF(listeInventaire[[#This Row],[Stock final]]&gt;listeInventaire[[#This Row],[Seuil d''alerte]],"Stock normal",IF(listeInventaire[[#This Row],[Stock final]]=0,"Non disponible","Stock faible"))</f>
        <v>Stock normal</v>
      </c>
      <c r="O6" s="9"/>
    </row>
    <row r="7" spans="1:19" ht="18" customHeight="1">
      <c r="A7" s="6"/>
      <c r="B7" s="9"/>
      <c r="C7" s="25" t="s">
        <v>53</v>
      </c>
      <c r="D7" s="20" t="str">
        <f>IFERROR(VLOOKUP(listeInventaire[[#This Row],[Référence]],listeProduits[],2,FALSE),"")</f>
        <v>IPHONE 13 PRO</v>
      </c>
      <c r="E7" s="20" t="str">
        <f>IFERROR(VLOOKUP(listeInventaire[[#This Row],[Référence]],listeProduits[],3,FALSE),"")</f>
        <v>SmartPhone</v>
      </c>
      <c r="F7" s="20" t="str">
        <f>IFERROR(VLOOKUP(listeInventaire[[#This Row],[Référence]],listeProduits[],4,FALSE),"")</f>
        <v>1 unité</v>
      </c>
      <c r="G7" s="22">
        <f>IFERROR(VLOOKUP(listeInventaire[[#This Row],[Référence]],listeProduits[],5,FALSE),"")</f>
        <v>10</v>
      </c>
      <c r="H7" s="22">
        <f>IFERROR(VLOOKUP(listeInventaire[[#This Row],[Référence]],listeProduits[],6,FALSE),"")</f>
        <v>3</v>
      </c>
      <c r="I7" s="22">
        <f>SUMIF(listeAchats[Référence],listeInventaire[[#This Row],[Référence]],listeAchats[Quantité])</f>
        <v>96</v>
      </c>
      <c r="J7" s="22">
        <f>SUMIF(listeVentes[Référence],listeInventaire[[#This Row],[Référence]],listeVentes[Quantité])</f>
        <v>87</v>
      </c>
      <c r="K7" s="22">
        <f>IFERROR(listeInventaire[[#This Row],[Stock initial]]+listeInventaire[[#This Row],[Entrées]]-listeInventaire[[#This Row],[Sorties]],"")</f>
        <v>12</v>
      </c>
      <c r="L7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1400</v>
      </c>
      <c r="M7" s="21">
        <f>IFERROR(listeInventaire[[#This Row],[Stock final]]*listeInventaire[[#This Row],[CUMP]],"")</f>
        <v>16800</v>
      </c>
      <c r="N7" s="20" t="str">
        <f>IF(listeInventaire[[#This Row],[Stock final]]&gt;listeInventaire[[#This Row],[Seuil d''alerte]],"Stock normal",IF(listeInventaire[[#This Row],[Stock final]]=0,"Non disponible","Stock faible"))</f>
        <v>Stock normal</v>
      </c>
      <c r="O7" s="9"/>
    </row>
    <row r="8" spans="1:19" ht="18" customHeight="1">
      <c r="B8" s="9"/>
      <c r="C8" s="25" t="s">
        <v>54</v>
      </c>
      <c r="D8" s="20" t="str">
        <f>IFERROR(VLOOKUP(listeInventaire[[#This Row],[Référence]],listeProduits[],2,FALSE),"")</f>
        <v>Oreo</v>
      </c>
      <c r="E8" s="20" t="str">
        <f>IFERROR(VLOOKUP(listeInventaire[[#This Row],[Référence]],listeProduits[],3,FALSE),"")</f>
        <v xml:space="preserve">Biscuits </v>
      </c>
      <c r="F8" s="20" t="str">
        <f>IFERROR(VLOOKUP(listeInventaire[[#This Row],[Référence]],listeProduits[],4,FALSE),"")</f>
        <v xml:space="preserve">1 unité </v>
      </c>
      <c r="G8" s="22">
        <f>IFERROR(VLOOKUP(listeInventaire[[#This Row],[Référence]],listeProduits[],5,FALSE),"")</f>
        <v>10</v>
      </c>
      <c r="H8" s="22">
        <f>IFERROR(VLOOKUP(listeInventaire[[#This Row],[Référence]],listeProduits[],6,FALSE),"")</f>
        <v>10</v>
      </c>
      <c r="I8" s="22">
        <f>SUMIF(listeAchats[Référence],listeInventaire[[#This Row],[Référence]],listeAchats[Quantité])</f>
        <v>95</v>
      </c>
      <c r="J8" s="22">
        <f>SUMIF(listeVentes[Référence],listeInventaire[[#This Row],[Référence]],listeVentes[Quantité])</f>
        <v>79</v>
      </c>
      <c r="K8" s="22">
        <f>IFERROR(listeInventaire[[#This Row],[Stock initial]]+listeInventaire[[#This Row],[Entrées]]-listeInventaire[[#This Row],[Sorties]],"")</f>
        <v>26</v>
      </c>
      <c r="L8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0.20904761904761907</v>
      </c>
      <c r="M8" s="21">
        <f>IFERROR(listeInventaire[[#This Row],[Stock final]]*listeInventaire[[#This Row],[CUMP]],"")</f>
        <v>5.4352380952380956</v>
      </c>
      <c r="N8" s="20" t="str">
        <f>IF(listeInventaire[[#This Row],[Stock final]]&gt;listeInventaire[[#This Row],[Seuil d''alerte]],"Stock normal",IF(listeInventaire[[#This Row],[Stock final]]=0,"Non disponible","Stock faible"))</f>
        <v>Stock normal</v>
      </c>
      <c r="O8" s="9"/>
    </row>
    <row r="9" spans="1:19" ht="18" customHeight="1">
      <c r="B9" s="9"/>
      <c r="C9" s="25" t="s">
        <v>55</v>
      </c>
      <c r="D9" s="20" t="str">
        <f>IFERROR(VLOOKUP(listeInventaire[[#This Row],[Référence]],listeProduits[],2,FALSE),"")</f>
        <v>Oreo</v>
      </c>
      <c r="E9" s="20" t="str">
        <f>IFERROR(VLOOKUP(listeInventaire[[#This Row],[Référence]],listeProduits[],3,FALSE),"")</f>
        <v xml:space="preserve">Biscuits </v>
      </c>
      <c r="F9" s="20" t="str">
        <f>IFERROR(VLOOKUP(listeInventaire[[#This Row],[Référence]],listeProduits[],4,FALSE),"")</f>
        <v>Pack de 10 unités</v>
      </c>
      <c r="G9" s="22">
        <f>IFERROR(VLOOKUP(listeInventaire[[#This Row],[Référence]],listeProduits[],5,FALSE),"")</f>
        <v>50</v>
      </c>
      <c r="H9" s="22">
        <f>IFERROR(VLOOKUP(listeInventaire[[#This Row],[Référence]],listeProduits[],6,FALSE),"")</f>
        <v>15</v>
      </c>
      <c r="I9" s="22">
        <f>SUMIF(listeAchats[Référence],listeInventaire[[#This Row],[Référence]],listeAchats[Quantité])</f>
        <v>147</v>
      </c>
      <c r="J9" s="22">
        <f>SUMIF(listeVentes[Référence],listeInventaire[[#This Row],[Référence]],listeVentes[Quantité])</f>
        <v>64</v>
      </c>
      <c r="K9" s="22">
        <f>IFERROR(listeInventaire[[#This Row],[Stock initial]]+listeInventaire[[#This Row],[Entrées]]-listeInventaire[[#This Row],[Sorties]],"")</f>
        <v>98</v>
      </c>
      <c r="L9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2</v>
      </c>
      <c r="M9" s="21">
        <f>IFERROR(listeInventaire[[#This Row],[Stock final]]*listeInventaire[[#This Row],[CUMP]],"")</f>
        <v>196</v>
      </c>
      <c r="N9" s="20" t="str">
        <f>IF(listeInventaire[[#This Row],[Stock final]]&gt;listeInventaire[[#This Row],[Seuil d''alerte]],"Stock normal",IF(listeInventaire[[#This Row],[Stock final]]=0,"Non disponible","Stock faible"))</f>
        <v>Stock normal</v>
      </c>
      <c r="O9" s="9"/>
    </row>
    <row r="10" spans="1:19" ht="18" customHeight="1">
      <c r="B10" s="9"/>
      <c r="C10" s="25" t="s">
        <v>56</v>
      </c>
      <c r="D10" s="20" t="str">
        <f>IFERROR(VLOOKUP(listeInventaire[[#This Row],[Référence]],listeProduits[],2,FALSE),"")</f>
        <v>Oreo</v>
      </c>
      <c r="E10" s="20" t="str">
        <f>IFERROR(VLOOKUP(listeInventaire[[#This Row],[Référence]],listeProduits[],3,FALSE),"")</f>
        <v xml:space="preserve">Biscuits </v>
      </c>
      <c r="F10" s="20" t="str">
        <f>IFERROR(VLOOKUP(listeInventaire[[#This Row],[Référence]],listeProduits[],4,FALSE),"")</f>
        <v>Pack de 20 unités</v>
      </c>
      <c r="G10" s="22">
        <f>IFERROR(VLOOKUP(listeInventaire[[#This Row],[Référence]],listeProduits[],5,FALSE),"")</f>
        <v>20</v>
      </c>
      <c r="H10" s="22">
        <f>IFERROR(VLOOKUP(listeInventaire[[#This Row],[Référence]],listeProduits[],6,FALSE),"")</f>
        <v>5</v>
      </c>
      <c r="I10" s="22">
        <f>SUMIF(listeAchats[Référence],listeInventaire[[#This Row],[Référence]],listeAchats[Quantité])</f>
        <v>320</v>
      </c>
      <c r="J10" s="22">
        <f>SUMIF(listeVentes[Référence],listeInventaire[[#This Row],[Référence]],listeVentes[Quantité])</f>
        <v>195</v>
      </c>
      <c r="K10" s="22">
        <f>IFERROR(listeInventaire[[#This Row],[Stock initial]]+listeInventaire[[#This Row],[Entrées]]-listeInventaire[[#This Row],[Sorties]],"")</f>
        <v>130</v>
      </c>
      <c r="L10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4</v>
      </c>
      <c r="M10" s="21">
        <f>IFERROR(listeInventaire[[#This Row],[Stock final]]*listeInventaire[[#This Row],[CUMP]],"")</f>
        <v>520</v>
      </c>
      <c r="N10" s="20" t="str">
        <f>IF(listeInventaire[[#This Row],[Stock final]]&gt;listeInventaire[[#This Row],[Seuil d''alerte]],"Stock normal",IF(listeInventaire[[#This Row],[Stock final]]=0,"Non disponible","Stock faible"))</f>
        <v>Stock normal</v>
      </c>
      <c r="O10" s="9"/>
    </row>
    <row r="11" spans="1:19" ht="18" customHeight="1">
      <c r="B11" s="9"/>
      <c r="C11" s="25" t="s">
        <v>38</v>
      </c>
      <c r="D11" s="20" t="str">
        <f>IFERROR(VLOOKUP(listeInventaire[[#This Row],[Référence]],listeProduits[],2,FALSE),"")</f>
        <v>Réfrigérateur WHIRLPOOL</v>
      </c>
      <c r="E11" s="20" t="str">
        <f>IFERROR(VLOOKUP(listeInventaire[[#This Row],[Référence]],listeProduits[],3,FALSE),"")</f>
        <v>Electro</v>
      </c>
      <c r="F11" s="20" t="str">
        <f>IFERROR(VLOOKUP(listeInventaire[[#This Row],[Référence]],listeProduits[],4,FALSE),"")</f>
        <v>1 unité</v>
      </c>
      <c r="G11" s="22">
        <f>IFERROR(VLOOKUP(listeInventaire[[#This Row],[Référence]],listeProduits[],5,FALSE),"")</f>
        <v>10</v>
      </c>
      <c r="H11" s="22">
        <f>IFERROR(VLOOKUP(listeInventaire[[#This Row],[Référence]],listeProduits[],6,FALSE),"")</f>
        <v>5</v>
      </c>
      <c r="I11" s="22">
        <f>SUMIF(listeAchats[Référence],listeInventaire[[#This Row],[Référence]],listeAchats[Quantité])</f>
        <v>24</v>
      </c>
      <c r="J11" s="22">
        <f>SUMIF(listeVentes[Référence],listeInventaire[[#This Row],[Référence]],listeVentes[Quantité])</f>
        <v>21</v>
      </c>
      <c r="K11" s="22">
        <f>IFERROR(listeInventaire[[#This Row],[Stock initial]]+listeInventaire[[#This Row],[Entrées]]-listeInventaire[[#This Row],[Sorties]],"")</f>
        <v>8</v>
      </c>
      <c r="L11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700</v>
      </c>
      <c r="M11" s="21">
        <f>IFERROR(listeInventaire[[#This Row],[Stock final]]*listeInventaire[[#This Row],[CUMP]],"")</f>
        <v>5600</v>
      </c>
      <c r="N11" s="20" t="str">
        <f>IF(listeInventaire[[#This Row],[Stock final]]&gt;listeInventaire[[#This Row],[Seuil d''alerte]],"Stock normal",IF(listeInventaire[[#This Row],[Stock final]]=0,"Non disponible","Stock faible"))</f>
        <v>Stock faible</v>
      </c>
      <c r="O11" s="9"/>
    </row>
    <row r="12" spans="1:19" ht="18" customHeight="1">
      <c r="B12" s="9"/>
      <c r="C12" s="25" t="s">
        <v>39</v>
      </c>
      <c r="D12" s="20" t="str">
        <f>IFERROR(VLOOKUP(listeInventaire[[#This Row],[Référence]],listeProduits[],2,FALSE),"")</f>
        <v>Réfrigérateur SIERA</v>
      </c>
      <c r="E12" s="20" t="str">
        <f>IFERROR(VLOOKUP(listeInventaire[[#This Row],[Référence]],listeProduits[],3,FALSE),"")</f>
        <v>Electro</v>
      </c>
      <c r="F12" s="20" t="str">
        <f>IFERROR(VLOOKUP(listeInventaire[[#This Row],[Référence]],listeProduits[],4,FALSE),"")</f>
        <v>1 unité</v>
      </c>
      <c r="G12" s="22">
        <f>IFERROR(VLOOKUP(listeInventaire[[#This Row],[Référence]],listeProduits[],5,FALSE),"")</f>
        <v>10</v>
      </c>
      <c r="H12" s="22">
        <f>IFERROR(VLOOKUP(listeInventaire[[#This Row],[Référence]],listeProduits[],6,FALSE),"")</f>
        <v>3</v>
      </c>
      <c r="I12" s="22">
        <f>SUMIF(listeAchats[Référence],listeInventaire[[#This Row],[Référence]],listeAchats[Quantité])</f>
        <v>40</v>
      </c>
      <c r="J12" s="22">
        <f>SUMIF(listeVentes[Référence],listeInventaire[[#This Row],[Référence]],listeVentes[Quantité])</f>
        <v>24</v>
      </c>
      <c r="K12" s="22">
        <f>IFERROR(listeInventaire[[#This Row],[Stock initial]]+listeInventaire[[#This Row],[Entrées]]-listeInventaire[[#This Row],[Sorties]],"")</f>
        <v>19</v>
      </c>
      <c r="L12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300</v>
      </c>
      <c r="M12" s="21">
        <f>IFERROR(listeInventaire[[#This Row],[Stock final]]*listeInventaire[[#This Row],[CUMP]],"")</f>
        <v>5700</v>
      </c>
      <c r="N12" s="20" t="str">
        <f>IF(listeInventaire[[#This Row],[Stock final]]&gt;listeInventaire[[#This Row],[Seuil d''alerte]],"Stock normal",IF(listeInventaire[[#This Row],[Stock final]]=0,"Non disponible","Stock faible"))</f>
        <v>Stock normal</v>
      </c>
      <c r="O12" s="9"/>
    </row>
    <row r="13" spans="1:19" ht="20" customHeight="1">
      <c r="B13" s="9"/>
      <c r="C13" s="25" t="s">
        <v>40</v>
      </c>
      <c r="D13" s="20" t="str">
        <f>IFERROR(VLOOKUP(listeInventaire[[#This Row],[Référence]],listeProduits[],2,FALSE),"")</f>
        <v>Cuisinière SIERA</v>
      </c>
      <c r="E13" s="20" t="str">
        <f>IFERROR(VLOOKUP(listeInventaire[[#This Row],[Référence]],listeProduits[],3,FALSE),"")</f>
        <v>Electro</v>
      </c>
      <c r="F13" s="20" t="str">
        <f>IFERROR(VLOOKUP(listeInventaire[[#This Row],[Référence]],listeProduits[],4,FALSE),"")</f>
        <v>1 unité</v>
      </c>
      <c r="G13" s="22">
        <f>IFERROR(VLOOKUP(listeInventaire[[#This Row],[Référence]],listeProduits[],5,FALSE),"")</f>
        <v>10</v>
      </c>
      <c r="H13" s="22">
        <f>IFERROR(VLOOKUP(listeInventaire[[#This Row],[Référence]],listeProduits[],6,FALSE),"")</f>
        <v>6</v>
      </c>
      <c r="I13" s="22">
        <f>SUMIF(listeAchats[Référence],listeInventaire[[#This Row],[Référence]],listeAchats[Quantité])</f>
        <v>65</v>
      </c>
      <c r="J13" s="22">
        <f>SUMIF(listeVentes[Référence],listeInventaire[[#This Row],[Référence]],listeVentes[Quantité])</f>
        <v>28</v>
      </c>
      <c r="K13" s="22">
        <f>IFERROR(listeInventaire[[#This Row],[Stock initial]]+listeInventaire[[#This Row],[Entrées]]-listeInventaire[[#This Row],[Sorties]],"")</f>
        <v>43</v>
      </c>
      <c r="L13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150</v>
      </c>
      <c r="M13" s="21">
        <f>IFERROR(listeInventaire[[#This Row],[Stock final]]*listeInventaire[[#This Row],[CUMP]],"")</f>
        <v>6450</v>
      </c>
      <c r="N13" s="20" t="str">
        <f>IF(listeInventaire[[#This Row],[Stock final]]&gt;listeInventaire[[#This Row],[Seuil d''alerte]],"Stock normal",IF(listeInventaire[[#This Row],[Stock final]]=0,"Non disponible","Stock faible"))</f>
        <v>Stock normal</v>
      </c>
      <c r="O13" s="9"/>
    </row>
    <row r="14" spans="1:19" ht="20" customHeight="1">
      <c r="B14" s="9"/>
      <c r="C14" s="25" t="s">
        <v>41</v>
      </c>
      <c r="D14" s="20" t="str">
        <f>IFERROR(VLOOKUP(listeInventaire[[#This Row],[Référence]],listeProduits[],2,FALSE),"")</f>
        <v>Cuisinière CANDY</v>
      </c>
      <c r="E14" s="20" t="str">
        <f>IFERROR(VLOOKUP(listeInventaire[[#This Row],[Référence]],listeProduits[],3,FALSE),"")</f>
        <v>Electro</v>
      </c>
      <c r="F14" s="20" t="str">
        <f>IFERROR(VLOOKUP(listeInventaire[[#This Row],[Référence]],listeProduits[],4,FALSE),"")</f>
        <v>1 unité</v>
      </c>
      <c r="G14" s="22">
        <f>IFERROR(VLOOKUP(listeInventaire[[#This Row],[Référence]],listeProduits[],5,FALSE),"")</f>
        <v>10</v>
      </c>
      <c r="H14" s="22">
        <f>IFERROR(VLOOKUP(listeInventaire[[#This Row],[Référence]],listeProduits[],6,FALSE),"")</f>
        <v>0</v>
      </c>
      <c r="I14" s="22">
        <f>SUMIF(listeAchats[Référence],listeInventaire[[#This Row],[Référence]],listeAchats[Quantité])</f>
        <v>60</v>
      </c>
      <c r="J14" s="22">
        <f>SUMIF(listeVentes[Référence],listeInventaire[[#This Row],[Référence]],listeVentes[Quantité])</f>
        <v>60</v>
      </c>
      <c r="K14" s="22">
        <f>IFERROR(listeInventaire[[#This Row],[Stock initial]]+listeInventaire[[#This Row],[Entrées]]-listeInventaire[[#This Row],[Sorties]],"")</f>
        <v>0</v>
      </c>
      <c r="L14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500</v>
      </c>
      <c r="M14" s="21">
        <f>IFERROR(listeInventaire[[#This Row],[Stock final]]*listeInventaire[[#This Row],[CUMP]],"")</f>
        <v>0</v>
      </c>
      <c r="N14" s="20" t="str">
        <f>IF(listeInventaire[[#This Row],[Stock final]]&gt;listeInventaire[[#This Row],[Seuil d''alerte]],"Stock normal",IF(listeInventaire[[#This Row],[Stock final]]=0,"Non disponible","Stock faible"))</f>
        <v>Non disponible</v>
      </c>
      <c r="O14" s="9"/>
    </row>
    <row r="15" spans="1:19" ht="20" customHeight="1">
      <c r="B15" s="9"/>
      <c r="C15" s="56" t="s">
        <v>35</v>
      </c>
      <c r="D15" s="20" t="str">
        <f>IFERROR(VLOOKUP(listeInventaire[[#This Row],[Référence]],listeProduits[],2,FALSE),"")</f>
        <v xml:space="preserve">PLAYSTATION PS5 </v>
      </c>
      <c r="E15" s="20" t="str">
        <f>IFERROR(VLOOKUP(listeInventaire[[#This Row],[Référence]],listeProduits[],3,FALSE),"")</f>
        <v>Consoles</v>
      </c>
      <c r="F15" s="20" t="str">
        <f>IFERROR(VLOOKUP(listeInventaire[[#This Row],[Référence]],listeProduits[],4,FALSE),"")</f>
        <v>1 unité</v>
      </c>
      <c r="G15" s="22">
        <f>IFERROR(VLOOKUP(listeInventaire[[#This Row],[Référence]],listeProduits[],5,FALSE),"")</f>
        <v>10</v>
      </c>
      <c r="H15" s="22">
        <f>IFERROR(VLOOKUP(listeInventaire[[#This Row],[Référence]],listeProduits[],6,FALSE),"")</f>
        <v>3</v>
      </c>
      <c r="I15" s="22">
        <f>SUMIF(listeAchats[Référence],listeInventaire[[#This Row],[Référence]],listeAchats[Quantité])</f>
        <v>50</v>
      </c>
      <c r="J15" s="22">
        <f>SUMIF(listeVentes[Référence],listeInventaire[[#This Row],[Référence]],listeVentes[Quantité])</f>
        <v>40</v>
      </c>
      <c r="K15" s="22">
        <f>IFERROR(listeInventaire[[#This Row],[Stock initial]]+listeInventaire[[#This Row],[Entrées]]-listeInventaire[[#This Row],[Sorties]],"")</f>
        <v>13</v>
      </c>
      <c r="L15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751.88679245283015</v>
      </c>
      <c r="M15" s="21">
        <f>IFERROR(listeInventaire[[#This Row],[Stock final]]*listeInventaire[[#This Row],[CUMP]],"")</f>
        <v>9774.5283018867922</v>
      </c>
      <c r="N15" s="20" t="str">
        <f>IF(listeInventaire[[#This Row],[Stock final]]&gt;listeInventaire[[#This Row],[Seuil d''alerte]],"Stock normal",IF(listeInventaire[[#This Row],[Stock final]]=0,"Non disponible","Stock faible"))</f>
        <v>Stock normal</v>
      </c>
      <c r="O15" s="9"/>
    </row>
    <row r="16" spans="1:19" ht="20" customHeight="1">
      <c r="B16" s="9"/>
      <c r="C16" s="25" t="s">
        <v>36</v>
      </c>
      <c r="D16" s="20" t="str">
        <f>IFERROR(VLOOKUP(listeInventaire[[#This Row],[Référence]],listeProduits[],2,FALSE),"")</f>
        <v>NINTENDO SWITCH</v>
      </c>
      <c r="E16" s="20" t="str">
        <f>IFERROR(VLOOKUP(listeInventaire[[#This Row],[Référence]],listeProduits[],3,FALSE),"")</f>
        <v>Consoles</v>
      </c>
      <c r="F16" s="20" t="str">
        <f>IFERROR(VLOOKUP(listeInventaire[[#This Row],[Référence]],listeProduits[],4,FALSE),"")</f>
        <v>1 unité</v>
      </c>
      <c r="G16" s="22">
        <f>IFERROR(VLOOKUP(listeInventaire[[#This Row],[Référence]],listeProduits[],5,FALSE),"")</f>
        <v>10</v>
      </c>
      <c r="H16" s="22">
        <f>IFERROR(VLOOKUP(listeInventaire[[#This Row],[Référence]],listeProduits[],6,FALSE),"")</f>
        <v>6</v>
      </c>
      <c r="I16" s="22">
        <f>SUMIF(listeAchats[Référence],listeInventaire[[#This Row],[Référence]],listeAchats[Quantité])</f>
        <v>40</v>
      </c>
      <c r="J16" s="22">
        <f>SUMIF(listeVentes[Référence],listeInventaire[[#This Row],[Référence]],listeVentes[Quantité])</f>
        <v>44</v>
      </c>
      <c r="K16" s="22">
        <f>IFERROR(listeInventaire[[#This Row],[Stock initial]]+listeInventaire[[#This Row],[Entrées]]-listeInventaire[[#This Row],[Sorties]],"")</f>
        <v>2</v>
      </c>
      <c r="L16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407.06521739130437</v>
      </c>
      <c r="M16" s="21">
        <f>IFERROR(listeInventaire[[#This Row],[Stock final]]*listeInventaire[[#This Row],[CUMP]],"")</f>
        <v>814.13043478260875</v>
      </c>
      <c r="N16" s="20" t="str">
        <f>IF(listeInventaire[[#This Row],[Stock final]]&gt;listeInventaire[[#This Row],[Seuil d''alerte]],"Stock normal",IF(listeInventaire[[#This Row],[Stock final]]=0,"Non disponible","Stock faible"))</f>
        <v>Stock faible</v>
      </c>
      <c r="O16" s="9"/>
    </row>
    <row r="17" spans="2:15">
      <c r="B17" s="9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9"/>
    </row>
    <row r="18" spans="2:15">
      <c r="B18" s="9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9"/>
    </row>
    <row r="19" spans="2:15">
      <c r="B19" s="9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9"/>
    </row>
    <row r="20" spans="2:15">
      <c r="B20" s="9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9"/>
    </row>
  </sheetData>
  <mergeCells count="3">
    <mergeCell ref="H3:I3"/>
    <mergeCell ref="H4:J4"/>
    <mergeCell ref="C3:D4"/>
  </mergeCells>
  <phoneticPr fontId="14" type="noConversion"/>
  <conditionalFormatting sqref="N6:N16">
    <cfRule type="containsText" dxfId="56" priority="1" operator="containsText" text="Stock faible">
      <formula>NOT(ISERROR(SEARCH("Stock faible",N6)))</formula>
    </cfRule>
    <cfRule type="containsText" dxfId="55" priority="2" operator="containsText" text="Stock normal">
      <formula>NOT(ISERROR(SEARCH("Stock normal",N6)))</formula>
    </cfRule>
    <cfRule type="containsText" dxfId="54" priority="3" operator="containsText" text="Non disponible">
      <formula>NOT(ISERROR(SEARCH("Non disponible",N6)))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K96"/>
  <sheetViews>
    <sheetView topLeftCell="B1" workbookViewId="0">
      <selection activeCell="X18" sqref="X18"/>
    </sheetView>
  </sheetViews>
  <sheetFormatPr baseColWidth="10" defaultRowHeight="14.5"/>
  <cols>
    <col min="1" max="1" width="19.54296875" customWidth="1"/>
    <col min="2" max="2" width="14.36328125" customWidth="1"/>
    <col min="3" max="4" width="15.36328125" customWidth="1"/>
    <col min="6" max="6" width="21.7265625" customWidth="1"/>
    <col min="7" max="7" width="11.453125" bestFit="1" customWidth="1"/>
    <col min="8" max="8" width="13.81640625" customWidth="1"/>
  </cols>
  <sheetData>
    <row r="1" spans="1:11">
      <c r="A1" t="s">
        <v>67</v>
      </c>
      <c r="B1" t="s">
        <v>68</v>
      </c>
      <c r="F1" t="s">
        <v>15</v>
      </c>
      <c r="H1" s="47" t="s">
        <v>14</v>
      </c>
    </row>
    <row r="2" spans="1:11">
      <c r="A2" s="57">
        <v>366</v>
      </c>
      <c r="B2" s="58">
        <v>54852.093974764633</v>
      </c>
      <c r="F2" s="59" t="s">
        <v>19</v>
      </c>
      <c r="H2" s="60" t="s">
        <v>55</v>
      </c>
      <c r="K2" t="s">
        <v>86</v>
      </c>
    </row>
    <row r="3" spans="1:11">
      <c r="F3" s="59" t="s">
        <v>60</v>
      </c>
      <c r="H3" s="60" t="s">
        <v>38</v>
      </c>
      <c r="K3" t="s">
        <v>75</v>
      </c>
    </row>
    <row r="4" spans="1:11">
      <c r="A4" t="s">
        <v>69</v>
      </c>
      <c r="B4" t="s">
        <v>70</v>
      </c>
      <c r="F4" s="59" t="s">
        <v>59</v>
      </c>
      <c r="H4" s="60" t="s">
        <v>41</v>
      </c>
      <c r="K4" t="s">
        <v>76</v>
      </c>
    </row>
    <row r="5" spans="1:11">
      <c r="A5" s="57">
        <v>992</v>
      </c>
      <c r="B5" s="58">
        <v>291428.95000000007</v>
      </c>
      <c r="F5" s="59" t="s">
        <v>58</v>
      </c>
      <c r="H5" s="60" t="s">
        <v>40</v>
      </c>
      <c r="K5" t="s">
        <v>77</v>
      </c>
    </row>
    <row r="6" spans="1:11">
      <c r="H6" s="60" t="s">
        <v>39</v>
      </c>
      <c r="K6" t="s">
        <v>78</v>
      </c>
    </row>
    <row r="7" spans="1:11">
      <c r="A7" t="s">
        <v>69</v>
      </c>
      <c r="B7" t="s">
        <v>70</v>
      </c>
      <c r="H7" s="60" t="s">
        <v>36</v>
      </c>
      <c r="K7" t="s">
        <v>79</v>
      </c>
    </row>
    <row r="8" spans="1:11">
      <c r="A8" s="57">
        <v>702</v>
      </c>
      <c r="B8" s="58">
        <v>297931</v>
      </c>
      <c r="H8" s="60" t="s">
        <v>35</v>
      </c>
    </row>
    <row r="9" spans="1:11">
      <c r="H9" s="60" t="s">
        <v>53</v>
      </c>
    </row>
    <row r="10" spans="1:11">
      <c r="A10" s="61" t="s">
        <v>72</v>
      </c>
      <c r="B10" t="s">
        <v>71</v>
      </c>
      <c r="H10" s="60" t="s">
        <v>52</v>
      </c>
    </row>
    <row r="11" spans="1:11">
      <c r="A11" s="62" t="s">
        <v>19</v>
      </c>
      <c r="B11" s="57">
        <v>30</v>
      </c>
      <c r="H11" s="60" t="s">
        <v>56</v>
      </c>
    </row>
    <row r="12" spans="1:11">
      <c r="A12" s="62" t="s">
        <v>59</v>
      </c>
      <c r="B12" s="57">
        <v>9</v>
      </c>
      <c r="H12" s="60" t="s">
        <v>54</v>
      </c>
    </row>
    <row r="13" spans="1:11">
      <c r="A13" s="62" t="s">
        <v>60</v>
      </c>
      <c r="B13" s="57">
        <v>14</v>
      </c>
    </row>
    <row r="14" spans="1:11">
      <c r="A14" s="62" t="s">
        <v>58</v>
      </c>
      <c r="B14" s="57">
        <v>23</v>
      </c>
    </row>
    <row r="15" spans="1:11">
      <c r="A15" s="62" t="s">
        <v>73</v>
      </c>
      <c r="B15" s="57">
        <v>76</v>
      </c>
    </row>
    <row r="17" spans="1:2">
      <c r="A17" s="61" t="s">
        <v>72</v>
      </c>
      <c r="B17" s="58" t="s">
        <v>68</v>
      </c>
    </row>
    <row r="18" spans="1:2">
      <c r="A18" s="62" t="s">
        <v>19</v>
      </c>
      <c r="B18" s="58">
        <v>721.43523809523811</v>
      </c>
    </row>
    <row r="19" spans="1:2">
      <c r="A19" s="62" t="s">
        <v>59</v>
      </c>
      <c r="B19" s="58">
        <v>10588.6587366694</v>
      </c>
    </row>
    <row r="20" spans="1:2">
      <c r="A20" s="62" t="s">
        <v>60</v>
      </c>
      <c r="B20" s="58">
        <v>17750</v>
      </c>
    </row>
    <row r="21" spans="1:2">
      <c r="A21" s="62" t="s">
        <v>58</v>
      </c>
      <c r="B21" s="58">
        <v>25792</v>
      </c>
    </row>
    <row r="22" spans="1:2">
      <c r="A22" s="62" t="s">
        <v>73</v>
      </c>
      <c r="B22" s="58">
        <v>54852.093974764641</v>
      </c>
    </row>
    <row r="24" spans="1:2">
      <c r="A24" s="61" t="s">
        <v>72</v>
      </c>
      <c r="B24" s="58" t="s">
        <v>70</v>
      </c>
    </row>
    <row r="25" spans="1:2">
      <c r="A25" s="62" t="s">
        <v>74</v>
      </c>
      <c r="B25" s="58">
        <v>1593.9500000000003</v>
      </c>
    </row>
    <row r="26" spans="1:2">
      <c r="A26" s="62" t="s">
        <v>59</v>
      </c>
      <c r="B26" s="58">
        <v>53925</v>
      </c>
    </row>
    <row r="27" spans="1:2">
      <c r="A27" s="62" t="s">
        <v>60</v>
      </c>
      <c r="B27" s="58">
        <v>68550</v>
      </c>
    </row>
    <row r="28" spans="1:2">
      <c r="A28" s="62" t="s">
        <v>58</v>
      </c>
      <c r="B28" s="58">
        <v>167360</v>
      </c>
    </row>
    <row r="29" spans="1:2">
      <c r="A29" s="62" t="s">
        <v>73</v>
      </c>
      <c r="B29" s="58">
        <v>291428.95000000007</v>
      </c>
    </row>
    <row r="31" spans="1:2">
      <c r="A31" s="61" t="s">
        <v>72</v>
      </c>
      <c r="B31" t="s">
        <v>69</v>
      </c>
    </row>
    <row r="32" spans="1:2">
      <c r="A32" s="62" t="s">
        <v>74</v>
      </c>
      <c r="B32" s="57">
        <v>562</v>
      </c>
    </row>
    <row r="33" spans="1:2">
      <c r="A33" s="62" t="s">
        <v>59</v>
      </c>
      <c r="B33" s="57">
        <v>90</v>
      </c>
    </row>
    <row r="34" spans="1:2">
      <c r="A34" s="62" t="s">
        <v>60</v>
      </c>
      <c r="B34" s="57">
        <v>189</v>
      </c>
    </row>
    <row r="35" spans="1:2">
      <c r="A35" s="62" t="s">
        <v>58</v>
      </c>
      <c r="B35" s="57">
        <v>151</v>
      </c>
    </row>
    <row r="36" spans="1:2">
      <c r="A36" s="62" t="s">
        <v>73</v>
      </c>
      <c r="B36" s="57">
        <v>992</v>
      </c>
    </row>
    <row r="38" spans="1:2">
      <c r="A38" s="61" t="s">
        <v>72</v>
      </c>
      <c r="B38" s="63" t="s">
        <v>70</v>
      </c>
    </row>
    <row r="39" spans="1:2">
      <c r="A39" s="62" t="s">
        <v>74</v>
      </c>
      <c r="B39" s="63">
        <v>1141</v>
      </c>
    </row>
    <row r="40" spans="1:2">
      <c r="A40" s="62" t="s">
        <v>59</v>
      </c>
      <c r="B40" s="63">
        <v>57320</v>
      </c>
    </row>
    <row r="41" spans="1:2">
      <c r="A41" s="62" t="s">
        <v>60</v>
      </c>
      <c r="B41" s="63">
        <v>67960</v>
      </c>
    </row>
    <row r="42" spans="1:2">
      <c r="A42" s="62" t="s">
        <v>58</v>
      </c>
      <c r="B42" s="63">
        <v>171510</v>
      </c>
    </row>
    <row r="43" spans="1:2">
      <c r="A43" s="62" t="s">
        <v>73</v>
      </c>
      <c r="B43" s="63">
        <v>297931</v>
      </c>
    </row>
    <row r="45" spans="1:2">
      <c r="A45" s="61" t="s">
        <v>72</v>
      </c>
      <c r="B45" t="s">
        <v>69</v>
      </c>
    </row>
    <row r="46" spans="1:2">
      <c r="A46" s="62" t="s">
        <v>74</v>
      </c>
      <c r="B46" s="57">
        <v>338</v>
      </c>
    </row>
    <row r="47" spans="1:2">
      <c r="A47" s="62" t="s">
        <v>59</v>
      </c>
      <c r="B47" s="57">
        <v>84</v>
      </c>
    </row>
    <row r="48" spans="1:2">
      <c r="A48" s="62" t="s">
        <v>60</v>
      </c>
      <c r="B48" s="57">
        <v>133</v>
      </c>
    </row>
    <row r="49" spans="1:7">
      <c r="A49" s="62" t="s">
        <v>58</v>
      </c>
      <c r="B49" s="57">
        <v>147</v>
      </c>
    </row>
    <row r="50" spans="1:7">
      <c r="A50" s="62" t="s">
        <v>73</v>
      </c>
      <c r="B50" s="57">
        <v>702</v>
      </c>
    </row>
    <row r="52" spans="1:7">
      <c r="A52" s="61" t="s">
        <v>72</v>
      </c>
      <c r="B52" t="s">
        <v>69</v>
      </c>
      <c r="C52" t="s">
        <v>80</v>
      </c>
      <c r="G52" t="s">
        <v>81</v>
      </c>
    </row>
    <row r="53" spans="1:7">
      <c r="A53" s="62" t="s">
        <v>75</v>
      </c>
      <c r="B53" s="57">
        <v>137</v>
      </c>
      <c r="C53" s="57">
        <v>137</v>
      </c>
      <c r="E53" t="s">
        <v>75</v>
      </c>
      <c r="F53">
        <f>VLOOKUP(E53,A$53:B$57,2,FALSE)</f>
        <v>137</v>
      </c>
      <c r="G53" t="str">
        <f>IF(F53=MAX(F$53:F$57),F53,"")</f>
        <v/>
      </c>
    </row>
    <row r="54" spans="1:7">
      <c r="A54" s="62" t="s">
        <v>76</v>
      </c>
      <c r="B54" s="57">
        <v>184</v>
      </c>
      <c r="C54" s="57">
        <v>184</v>
      </c>
      <c r="E54" t="s">
        <v>76</v>
      </c>
      <c r="F54">
        <f>GETPIVOTDATA("[Measures].[Somme de Quantité]",$A$52,"[listeAchats].[Date (mois)]","[listeAchats].[Date (mois)].&amp;[févr]")</f>
        <v>184</v>
      </c>
      <c r="G54" t="str">
        <f t="shared" ref="G54:G56" si="0">IF(F54=MAX(F$53:F$57),F54,"")</f>
        <v/>
      </c>
    </row>
    <row r="55" spans="1:7">
      <c r="A55" s="62" t="s">
        <v>77</v>
      </c>
      <c r="B55" s="57">
        <v>142</v>
      </c>
      <c r="C55" s="57">
        <v>142</v>
      </c>
      <c r="E55" t="s">
        <v>77</v>
      </c>
      <c r="F55">
        <f>GETPIVOTDATA("[Measures].[Somme de Quantité]",$A$52,"[listeAchats].[Date (mois)]","[listeAchats].[Date (mois)].&amp;[mars]")</f>
        <v>142</v>
      </c>
      <c r="G55" t="str">
        <f t="shared" si="0"/>
        <v/>
      </c>
    </row>
    <row r="56" spans="1:7">
      <c r="A56" s="62" t="s">
        <v>78</v>
      </c>
      <c r="B56" s="57">
        <v>106</v>
      </c>
      <c r="C56" s="57">
        <v>106</v>
      </c>
      <c r="E56" t="s">
        <v>78</v>
      </c>
      <c r="F56">
        <f>GETPIVOTDATA("[Measures].[Somme de Quantité]",$A$52,"[listeAchats].[Date (mois)]","[listeAchats].[Date (mois)].&amp;[avr]")</f>
        <v>106</v>
      </c>
      <c r="G56" t="str">
        <f t="shared" si="0"/>
        <v/>
      </c>
    </row>
    <row r="57" spans="1:7">
      <c r="A57" s="62" t="s">
        <v>79</v>
      </c>
      <c r="B57" s="57">
        <v>423</v>
      </c>
      <c r="C57" s="57">
        <v>423</v>
      </c>
      <c r="E57" t="s">
        <v>79</v>
      </c>
      <c r="F57">
        <f>GETPIVOTDATA("[Measures].[Somme de Quantité]",$A$52,"[listeAchats].[Date (mois)]","[listeAchats].[Date (mois)].&amp;[mai]")</f>
        <v>423</v>
      </c>
      <c r="G57">
        <f>IF(F57=MAX(F$53:F$57),F57,"")</f>
        <v>423</v>
      </c>
    </row>
    <row r="58" spans="1:7">
      <c r="A58" s="62" t="s">
        <v>73</v>
      </c>
      <c r="B58" s="57">
        <v>992</v>
      </c>
      <c r="C58" s="57">
        <v>992</v>
      </c>
    </row>
    <row r="60" spans="1:7">
      <c r="A60" s="61" t="s">
        <v>72</v>
      </c>
      <c r="B60" t="s">
        <v>80</v>
      </c>
      <c r="G60" t="s">
        <v>81</v>
      </c>
    </row>
    <row r="61" spans="1:7">
      <c r="A61" s="62" t="s">
        <v>75</v>
      </c>
      <c r="B61" s="57">
        <v>71</v>
      </c>
      <c r="E61" t="s">
        <v>75</v>
      </c>
      <c r="F61">
        <v>71</v>
      </c>
      <c r="G61" t="str">
        <f>IF(F61=MAX(F$61:F$65),F61,"")</f>
        <v/>
      </c>
    </row>
    <row r="62" spans="1:7">
      <c r="A62" s="62" t="s">
        <v>76</v>
      </c>
      <c r="B62" s="57">
        <v>100</v>
      </c>
      <c r="E62" t="s">
        <v>76</v>
      </c>
      <c r="F62">
        <f>VLOOKUP(E62,A$61:B$65,2,FALSE)</f>
        <v>100</v>
      </c>
      <c r="G62" t="str">
        <f>IF(F62=MAX(F$61:F$65),F62,"")</f>
        <v/>
      </c>
    </row>
    <row r="63" spans="1:7">
      <c r="A63" s="62" t="s">
        <v>77</v>
      </c>
      <c r="B63" s="57">
        <v>187</v>
      </c>
      <c r="E63" t="s">
        <v>77</v>
      </c>
      <c r="F63">
        <f>VLOOKUP(E63,A$61:B$65,2,FALSE)</f>
        <v>187</v>
      </c>
      <c r="G63" t="str">
        <f>IF(F63=MAX(F$61:F$65),F63,"")</f>
        <v/>
      </c>
    </row>
    <row r="64" spans="1:7">
      <c r="A64" s="62" t="s">
        <v>78</v>
      </c>
      <c r="B64" s="57">
        <v>253</v>
      </c>
      <c r="E64" t="s">
        <v>78</v>
      </c>
      <c r="F64">
        <f>VLOOKUP(E64,A$61:B$65,2,FALSE)</f>
        <v>253</v>
      </c>
      <c r="G64">
        <f>IF(F64=MAX(F$61:F$65),F64,"")</f>
        <v>253</v>
      </c>
    </row>
    <row r="65" spans="1:7">
      <c r="A65" s="62" t="s">
        <v>79</v>
      </c>
      <c r="B65" s="57">
        <v>91</v>
      </c>
      <c r="E65" t="s">
        <v>79</v>
      </c>
      <c r="F65">
        <f>VLOOKUP(E65,A$61:B$65,2,FALSE)</f>
        <v>91</v>
      </c>
      <c r="G65" t="str">
        <f>IF(F65=MAX(F$61:F$65),F65,"")</f>
        <v/>
      </c>
    </row>
    <row r="66" spans="1:7">
      <c r="A66" s="62" t="s">
        <v>73</v>
      </c>
      <c r="B66" s="57">
        <v>702</v>
      </c>
    </row>
    <row r="68" spans="1:7">
      <c r="A68" s="61" t="s">
        <v>72</v>
      </c>
      <c r="B68" t="s">
        <v>70</v>
      </c>
      <c r="C68" t="s">
        <v>82</v>
      </c>
      <c r="G68" t="s">
        <v>81</v>
      </c>
    </row>
    <row r="69" spans="1:7">
      <c r="A69" s="62" t="s">
        <v>75</v>
      </c>
      <c r="B69" s="58">
        <v>51548</v>
      </c>
      <c r="C69" s="58">
        <v>51548</v>
      </c>
      <c r="E69" t="s">
        <v>75</v>
      </c>
      <c r="F69" s="58">
        <f>VLOOKUP(E69,A$69:B$73,2,FALSE)</f>
        <v>51548</v>
      </c>
      <c r="G69" s="58" t="str">
        <f>IF(F69=MAX(F$69:F$73),F69,"")</f>
        <v/>
      </c>
    </row>
    <row r="70" spans="1:7">
      <c r="A70" s="62" t="s">
        <v>76</v>
      </c>
      <c r="B70" s="58">
        <v>76664.399999999994</v>
      </c>
      <c r="C70" s="58">
        <v>76664.399999999994</v>
      </c>
      <c r="E70" t="s">
        <v>76</v>
      </c>
      <c r="F70" s="58">
        <f>VLOOKUP(E70,A$69:B$73,2,FALSE)</f>
        <v>76664.399999999994</v>
      </c>
      <c r="G70" s="58" t="str">
        <f>IF(F70=MAX(F$69:F$73),F70,"")</f>
        <v/>
      </c>
    </row>
    <row r="71" spans="1:7">
      <c r="A71" s="62" t="s">
        <v>77</v>
      </c>
      <c r="B71" s="58">
        <v>38248</v>
      </c>
      <c r="C71" s="58">
        <v>38248</v>
      </c>
      <c r="E71" t="s">
        <v>77</v>
      </c>
      <c r="F71" s="58">
        <f>VLOOKUP(E71,A$69:B$73,2,FALSE)</f>
        <v>38248</v>
      </c>
      <c r="G71" s="58" t="str">
        <f>IF(F71=MAX(F$69:F$73),F71,"")</f>
        <v/>
      </c>
    </row>
    <row r="72" spans="1:7">
      <c r="A72" s="62" t="s">
        <v>78</v>
      </c>
      <c r="B72" s="58">
        <v>48081.15</v>
      </c>
      <c r="C72" s="58">
        <v>48081.15</v>
      </c>
      <c r="E72" t="s">
        <v>78</v>
      </c>
      <c r="F72" s="58">
        <f>VLOOKUP(E72,A$69:B$73,2,FALSE)</f>
        <v>48081.15</v>
      </c>
      <c r="G72" s="58" t="str">
        <f>IF(F72=MAX(F$69:F$73),F72,"")</f>
        <v/>
      </c>
    </row>
    <row r="73" spans="1:7">
      <c r="A73" s="62" t="s">
        <v>79</v>
      </c>
      <c r="B73" s="58">
        <v>76887.399999999994</v>
      </c>
      <c r="C73" s="58">
        <v>76887.399999999994</v>
      </c>
      <c r="E73" t="s">
        <v>79</v>
      </c>
      <c r="F73" s="58">
        <f>VLOOKUP(E73,A$69:B$73,2,FALSE)</f>
        <v>76887.399999999994</v>
      </c>
      <c r="G73" s="58">
        <f>IF(F73=MAX(F$69:F$73),F73,"")</f>
        <v>76887.399999999994</v>
      </c>
    </row>
    <row r="74" spans="1:7">
      <c r="A74" s="62" t="s">
        <v>73</v>
      </c>
      <c r="B74" s="58">
        <v>291428.95000000007</v>
      </c>
      <c r="C74" s="58">
        <v>291428.95000000007</v>
      </c>
    </row>
    <row r="76" spans="1:7">
      <c r="B76" s="61" t="s">
        <v>72</v>
      </c>
      <c r="C76" t="s">
        <v>70</v>
      </c>
      <c r="D76" t="s">
        <v>82</v>
      </c>
    </row>
    <row r="77" spans="1:7">
      <c r="B77" s="62" t="s">
        <v>75</v>
      </c>
      <c r="C77" s="58">
        <v>38385.299999999996</v>
      </c>
      <c r="D77" s="58">
        <v>38385.299999999996</v>
      </c>
    </row>
    <row r="78" spans="1:7">
      <c r="B78" s="62" t="s">
        <v>76</v>
      </c>
      <c r="C78" s="58">
        <v>60319.5</v>
      </c>
      <c r="D78" s="58">
        <v>60319.5</v>
      </c>
    </row>
    <row r="79" spans="1:7">
      <c r="B79" s="62" t="s">
        <v>77</v>
      </c>
      <c r="C79" s="58">
        <v>69065</v>
      </c>
      <c r="D79" s="58">
        <v>69065</v>
      </c>
    </row>
    <row r="80" spans="1:7">
      <c r="B80" s="62" t="s">
        <v>78</v>
      </c>
      <c r="C80" s="58">
        <v>74985</v>
      </c>
      <c r="D80" s="58">
        <v>74985</v>
      </c>
    </row>
    <row r="81" spans="2:8">
      <c r="B81" s="62" t="s">
        <v>79</v>
      </c>
      <c r="C81" s="58">
        <v>55176.2</v>
      </c>
      <c r="D81" s="58">
        <v>55176.2</v>
      </c>
    </row>
    <row r="82" spans="2:8">
      <c r="B82" s="62" t="s">
        <v>73</v>
      </c>
      <c r="C82" s="58">
        <v>297931</v>
      </c>
      <c r="D82" s="58">
        <v>297931</v>
      </c>
    </row>
    <row r="84" spans="2:8">
      <c r="C84" s="61" t="s">
        <v>72</v>
      </c>
      <c r="D84" t="s">
        <v>70</v>
      </c>
    </row>
    <row r="85" spans="2:8">
      <c r="C85" s="62" t="s">
        <v>61</v>
      </c>
      <c r="D85" s="63">
        <v>35400</v>
      </c>
    </row>
    <row r="86" spans="2:8">
      <c r="C86" s="62" t="s">
        <v>51</v>
      </c>
      <c r="D86" s="63">
        <v>42010</v>
      </c>
    </row>
    <row r="87" spans="2:8">
      <c r="C87" s="62" t="s">
        <v>66</v>
      </c>
      <c r="D87" s="63">
        <v>129500</v>
      </c>
    </row>
    <row r="88" spans="2:8">
      <c r="C88" s="62" t="s">
        <v>73</v>
      </c>
      <c r="D88" s="63">
        <v>206910</v>
      </c>
    </row>
    <row r="90" spans="2:8">
      <c r="C90" s="61" t="s">
        <v>16</v>
      </c>
      <c r="D90" t="s">
        <v>83</v>
      </c>
    </row>
    <row r="92" spans="2:8">
      <c r="C92" s="61" t="s">
        <v>72</v>
      </c>
      <c r="D92" t="s">
        <v>71</v>
      </c>
    </row>
    <row r="93" spans="2:8">
      <c r="C93" s="62" t="s">
        <v>61</v>
      </c>
      <c r="D93" s="57">
        <v>0</v>
      </c>
    </row>
    <row r="94" spans="2:8">
      <c r="C94" s="62" t="s">
        <v>50</v>
      </c>
      <c r="D94" s="57">
        <v>6</v>
      </c>
      <c r="F94" t="str">
        <f>C93</f>
        <v>Cuisinière CANDY</v>
      </c>
      <c r="G94">
        <f>GETPIVOTDATA("Stock initial",$C$92,"Désignation","Cuisinière CANDY")</f>
        <v>0</v>
      </c>
      <c r="H94" t="str">
        <f>IF(G94=0,"Non-disponible","Stock faible")</f>
        <v>Non-disponible</v>
      </c>
    </row>
    <row r="95" spans="2:8">
      <c r="C95" s="62" t="s">
        <v>64</v>
      </c>
      <c r="D95" s="57">
        <v>5</v>
      </c>
      <c r="F95" t="str">
        <f>C94</f>
        <v>NINTENDO SWITCH</v>
      </c>
      <c r="G95">
        <f>GETPIVOTDATA("Stock initial",$C$92,"Désignation","NINTENDO SWITCH")</f>
        <v>6</v>
      </c>
      <c r="H95" t="str">
        <f>IF(G95=0,"Non-disponible","Stock faible")</f>
        <v>Stock faible</v>
      </c>
    </row>
    <row r="96" spans="2:8">
      <c r="C96" s="62" t="s">
        <v>73</v>
      </c>
      <c r="D96" s="57">
        <v>11</v>
      </c>
      <c r="F96" t="str">
        <f>C95</f>
        <v>Réfrigérateur WHIRLPOOL</v>
      </c>
      <c r="G96">
        <f>GETPIVOTDATA("Stock initial",$C$92,"Désignation","Réfrigérateur WHIRLPOOL")</f>
        <v>5</v>
      </c>
      <c r="H96" t="str">
        <f>IF(G96=0,"Non-disponible","Stock faible")</f>
        <v>Stock faible</v>
      </c>
    </row>
  </sheetData>
  <pageMargins left="0.7" right="0.7" top="0.75" bottom="0.75" header="0.3" footer="0.3"/>
  <pageSetup paperSize="9" orientation="portrait" r:id="rId16"/>
  <drawing r:id="rId17"/>
  <tableParts count="3">
    <tablePart r:id="rId18"/>
    <tablePart r:id="rId19"/>
    <tablePart r:id="rId20"/>
  </tableParts>
  <extLst>
    <ext xmlns:x14="http://schemas.microsoft.com/office/spreadsheetml/2009/9/main" uri="{A8765BA9-456A-4dab-B4F3-ACF838C121DE}">
      <x14:slicerList>
        <x14:slicer r:id="rId21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F1386F5-9FF7-4D23-B53A-FEEFBA46DB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Opérations</vt:lpstr>
      <vt:lpstr>Tableau de bord</vt:lpstr>
      <vt:lpstr>Marchandises</vt:lpstr>
      <vt:lpstr>Entrées</vt:lpstr>
      <vt:lpstr>Sorties</vt:lpstr>
      <vt:lpstr>Inventaire </vt:lpstr>
      <vt:lpstr>Traitement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Hassan Bahi</dc:creator>
  <cp:lastModifiedBy>HP</cp:lastModifiedBy>
  <dcterms:created xsi:type="dcterms:W3CDTF">2015-06-05T18:19:34Z</dcterms:created>
  <dcterms:modified xsi:type="dcterms:W3CDTF">2024-08-10T11:49:26Z</dcterms:modified>
</cp:coreProperties>
</file>